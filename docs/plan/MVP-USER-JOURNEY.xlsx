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per feature" sheetId="1" state="visible" r:id="rId1"/>
    <sheet name="Savings" sheetId="2" state="visible" r:id="rId2"/>
    <sheet name="Build order" sheetId="3" state="visible" r:id="rId3"/>
    <sheet name="User journey" sheetId="4" state="visible" r:id="rId4"/>
    <sheet name="Build waves" sheetId="5" state="visible" r:id="rId5"/>
    <sheet name="Not in MVP" sheetId="6" state="visible" r:id="rId6"/>
  </sheets>
  <definedNames>
    <definedName name="_xlnm._FilterDatabase" localSheetId="3" hidden="1">'User journey'!$A$1:$N$41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0E0E3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40" customWidth="1" min="3" max="3"/>
    <col width="48" customWidth="1" min="4" max="4"/>
    <col width="36" customWidth="1" min="5" max="5"/>
    <col width="36" customWidth="1" min="6" max="6"/>
    <col width="34" customWidth="1" min="7" max="7"/>
    <col width="11" customWidth="1" min="8" max="8"/>
    <col width="11" customWidth="1" min="9" max="9"/>
    <col width="9" customWidth="1" min="10" max="10"/>
    <col width="46" customWidth="1" min="11" max="11"/>
    <col width="36" customWidth="1" min="12" max="12"/>
    <col width="18" customWidth="1" min="13" max="13"/>
  </cols>
  <sheetData>
    <row r="1">
      <c r="A1" s="8" t="inlineStr">
        <is>
          <t>Feature</t>
        </is>
      </c>
      <c r="B1" s="8" t="inlineStr">
        <is>
          <t>Centre</t>
        </is>
      </c>
      <c r="C1" s="8" t="inlineStr">
        <is>
          <t>Input from the customer</t>
        </is>
      </c>
      <c r="D1" s="8" t="inlineStr">
        <is>
          <t>What the agent does</t>
        </is>
      </c>
      <c r="E1" s="8" t="inlineStr">
        <is>
          <t>What a human does</t>
        </is>
      </c>
      <c r="F1" s="8" t="inlineStr">
        <is>
          <t>Output</t>
        </is>
      </c>
      <c r="G1" s="8" t="inlineStr">
        <is>
          <t>What the agent remembers</t>
        </is>
      </c>
      <c r="H1" s="8" t="inlineStr">
        <is>
          <t>Human hours by hand (estimate)</t>
        </is>
      </c>
      <c r="I1" s="8" t="inlineStr">
        <is>
          <t>Human hours with Signal Harbor</t>
        </is>
      </c>
      <c r="J1" s="8" t="inlineStr">
        <is>
          <t>Hours saved</t>
        </is>
      </c>
      <c r="K1" s="8" t="inlineStr">
        <is>
          <t>How the hours were worked out</t>
        </is>
      </c>
      <c r="L1" s="8" t="inlineStr">
        <is>
          <t>What the company gains</t>
        </is>
      </c>
      <c r="M1" s="8" t="inlineStr">
        <is>
          <t>Built today?</t>
        </is>
      </c>
    </row>
    <row r="2">
      <c r="A2" s="2" t="inlineStr">
        <is>
          <t>1. Company profile (Bring what you have)</t>
        </is>
      </c>
      <c r="B2" s="2" t="inlineStr">
        <is>
          <t>Intent</t>
        </is>
      </c>
      <c r="C2" s="2" t="inlineStr">
        <is>
          <t>Strategy or investment policy, last 2-3 committee packs, people list, systems list, classification policy, known issues (Customer standard inputs 1-9)</t>
        </is>
      </c>
      <c r="D2" s="2" t="inlineStr">
        <is>
          <t>Nira reads every file into the profile: people, systems, pains, restricted areas, measures in the packs; marks each cell guessed with its source; lists what is missing</t>
        </is>
      </c>
      <c r="E2" s="2" t="inlineStr">
        <is>
          <t>Organiser drops files into nine tiles; confirms or corrects the guesses</t>
        </is>
      </c>
      <c r="F2" s="2" t="inlineStr">
        <is>
          <t>A company profile with provenance (stated, guessed, unknown); readiness bar</t>
        </is>
      </c>
      <c r="G2" s="2" t="inlineStr">
        <is>
          <t>Company memory: systems, teams, recurring pains, who owns what. Next cycle starts prefilled</t>
        </is>
      </c>
      <c r="H2" s="2" t="n">
        <v>32</v>
      </c>
      <c r="I2" s="2" t="n">
        <v>0.5</v>
      </c>
      <c r="J2" s="2">
        <f>H2-I2</f>
        <v/>
      </c>
      <c r="K2" s="2" t="inlineStr">
        <is>
          <t>Manual: an analyst reads and summarises the documents (3-5 days). With the product: 10 min upload (measured) plus about 20 min confirming</t>
        </is>
      </c>
      <c r="L2" s="2" t="inlineStr">
        <is>
          <t>One place where the company's own facts live, with sources; nothing re-asked later</t>
        </is>
      </c>
      <c r="M2" s="2" t="inlineStr">
        <is>
          <t>Built</t>
        </is>
      </c>
    </row>
    <row r="3">
      <c r="A3" s="2" t="inlineStr">
        <is>
          <t>2. One interview per person</t>
        </is>
      </c>
      <c r="B3" s="2" t="inlineStr">
        <is>
          <t>Intent</t>
        </is>
      </c>
      <c r="C3" s="2" t="inlineStr">
        <is>
          <t>10-15 key people; their time</t>
        </is>
      </c>
      <c r="D3" s="2" t="inlineStr">
        <is>
          <t>North (leaders) and Lens (owners) run a 5-15 min interview, skip questions the documents already answer, write answers into the profile and as draft cards</t>
        </is>
      </c>
      <c r="E3" s="2" t="inlineStr">
        <is>
          <t>Each person answers by text or voice</t>
        </is>
      </c>
      <c r="F3" s="2" t="inlineStr">
        <is>
          <t>Interview answers in the profile; draft cards for the wall</t>
        </is>
      </c>
      <c r="G3" s="2" t="inlineStr">
        <is>
          <t>Person memory per agent: priorities, pains, open threads; used in that person's next conversation</t>
        </is>
      </c>
      <c r="H3" s="2" t="n">
        <v>30</v>
      </c>
      <c r="I3" s="2" t="n">
        <v>2.5</v>
      </c>
      <c r="J3" s="2">
        <f>H3-I3</f>
        <v/>
      </c>
      <c r="K3" s="2" t="inlineStr">
        <is>
          <t>Manual: a consultant interviews 10 people for 1 hour and writes notes for 1 hour (20 h) plus the people's 10 h. With the product: median 11 min per person (measured)</t>
        </is>
      </c>
      <c r="L3" s="2" t="inlineStr">
        <is>
          <t>Every voice captured the same way, including anonymous ones; no consultant notes to chase</t>
        </is>
      </c>
      <c r="M3" s="2" t="inlineStr">
        <is>
          <t>Built (old look)</t>
        </is>
      </c>
    </row>
    <row r="4">
      <c r="A4" s="2" t="inlineStr">
        <is>
          <t>3. The wall (Think unfiltered)</t>
        </is>
      </c>
      <c r="B4" s="2" t="inlineStr">
        <is>
          <t>Intent</t>
        </is>
      </c>
      <c r="C4" s="2" t="inlineStr">
        <is>
          <t>Topic, purpose, days open; the participants</t>
        </is>
      </c>
      <c r="D4" s="2" t="inlineStr">
        <is>
          <t>North drafts each person's cards from their interview and documents; suggests up to three cards per lane; groups the wall into clusters at close</t>
        </is>
      </c>
      <c r="E4" s="2" t="inlineStr">
        <is>
          <t>Organiser starts the wall and moves the stages; each person confirms or adds cards (about 5 min)</t>
        </is>
      </c>
      <c r="F4" s="2" t="inlineStr">
        <is>
          <t>A frozen wall of cards in four lanes; clusters ready for Define</t>
        </is>
      </c>
      <c r="G4" s="2" t="inlineStr">
        <is>
          <t>Company memory: recurring themes across walls; North's suggestions improve per company</t>
        </is>
      </c>
      <c r="H4" s="2" t="n">
        <v>32</v>
      </c>
      <c r="I4" s="2" t="n">
        <v>1.5</v>
      </c>
      <c r="J4" s="2">
        <f>H4-I4</f>
        <v/>
      </c>
      <c r="K4" s="2" t="inlineStr">
        <is>
          <t>Manual: plan a workshop (8 h), run it with 8 people for 2 h (16 h), write it up (8 h). With the product: organiser 30 min, each person 5 min</t>
        </is>
      </c>
      <c r="L4" s="2" t="inlineStr">
        <is>
          <t>Ideas from people who would not speak in a meeting; grouping done in seconds</t>
        </is>
      </c>
      <c r="M4" s="2" t="inlineStr">
        <is>
          <t>Built; invite and stage bar to build</t>
        </is>
      </c>
    </row>
    <row r="5">
      <c r="A5" s="2" t="inlineStr">
        <is>
          <t>4. Define and the charter</t>
        </is>
      </c>
      <c r="B5" s="2" t="inlineStr">
        <is>
          <t>Intent</t>
        </is>
      </c>
      <c r="C5" s="2" t="inlineStr">
        <is>
          <t>The clusters; the committee's judgement</t>
        </is>
      </c>
      <c r="D5" s="2" t="inlineStr">
        <is>
          <t>Lens proposes a shelf for each cluster and the measures behind it; drafts the charter with 'so that' lines; Nira chases signatures</t>
        </is>
      </c>
      <c r="E5" s="2" t="inlineStr">
        <is>
          <t>Committee of 8 decides the shelves in one 90-min session (about 20 decisions); sponsor signs the charter</t>
        </is>
      </c>
      <c r="F5" s="2" t="inlineStr">
        <is>
          <t>Signed charter: problems with priority, pains, signals, levers, who took part</t>
        </is>
      </c>
      <c r="G5" s="2" t="inlineStr">
        <is>
          <t>Company memory: past priorities and why; Lens proposes shelves closer to past decisions</t>
        </is>
      </c>
      <c r="H5" s="2" t="n">
        <v>28</v>
      </c>
      <c r="I5" s="2" t="n">
        <v>12.5</v>
      </c>
      <c r="J5" s="2">
        <f>H5-I5</f>
        <v/>
      </c>
      <c r="K5" s="2" t="inlineStr">
        <is>
          <t>Manual: prepare options (8 h), committee 90 min x 8 (12 h), write the charter (8 h). With the product: the same 90-min session plus a 30-min signature</t>
        </is>
      </c>
      <c r="L5" s="2" t="inlineStr">
        <is>
          <t>A signed, traceable statement of what the business wants to know</t>
        </is>
      </c>
      <c r="M5" s="2" t="inlineStr">
        <is>
          <t>Built; charter screen to re-skin</t>
        </is>
      </c>
    </row>
    <row r="6">
      <c r="A6" s="2" t="inlineStr">
        <is>
          <t>5. Baseline (definitions and governance)</t>
        </is>
      </c>
      <c r="B6" s="2" t="inlineStr">
        <is>
          <t>Intent</t>
        </is>
      </c>
      <c r="C6" s="2" t="inlineStr">
        <is>
          <t>Glossary, KPI definitions, data dictionary, SOPs, classification policy (if they exist)</t>
        </is>
      </c>
      <c r="D6" s="2" t="inlineStr">
        <is>
          <t>Lens drafts every measure: business and technical definition, owners, classification, who may see, process map, glossary; asks owners only the gaps by link</t>
        </is>
      </c>
      <c r="E6" s="2" t="inlineStr">
        <is>
          <t>Each owner confirms or corrects their measures (about 10 min each); sponsor signs the baseline</t>
        </is>
      </c>
      <c r="F6" s="2" t="inlineStr">
        <is>
          <t>Signed baseline: per measure definitions, owners, personal data, who may see; catalogue; glossary; known risks</t>
        </is>
      </c>
      <c r="G6" s="2" t="inlineStr">
        <is>
          <t>Lens remembers each owner's corrections; next quarter's definitions come pre-agreed</t>
        </is>
      </c>
      <c r="H6" s="2" t="n">
        <v>80</v>
      </c>
      <c r="I6" s="2" t="n">
        <v>5</v>
      </c>
      <c r="J6" s="2">
        <f>H6-I6</f>
        <v/>
      </c>
      <c r="K6" s="2" t="inlineStr">
        <is>
          <t>Manual: 20 measures x 3 h of analyst work (60 h) plus 1 h per owner (20 h). With the product: 10 min per owner and 1 h of review and signing</t>
        </is>
      </c>
      <c r="L6" s="2" t="inlineStr">
        <is>
          <t>A governed catalogue the company owns and reuses for every report and audit</t>
        </is>
      </c>
      <c r="M6" s="2" t="inlineStr">
        <is>
          <t>Built (old look); new screen to build</t>
        </is>
      </c>
    </row>
    <row r="7">
      <c r="A7" s="2" t="inlineStr">
        <is>
          <t>6. Moment of truth (trial and plan)</t>
        </is>
      </c>
      <c r="B7" s="2" t="inlineStr">
        <is>
          <t>Intent</t>
        </is>
      </c>
      <c r="C7" s="2" t="inlineStr">
        <is>
          <t>One recent period of sample data per key source; the reported figures in the packs</t>
        </is>
      </c>
      <c r="D7" s="2" t="inlineStr">
        <is>
          <t>Lens profiles each file, recomputes each measure, compares with the reported figure, proposes quality rules, scores sources, drafts the phased plan</t>
        </is>
      </c>
      <c r="E7" s="2" t="inlineStr">
        <is>
          <t>Source owners upload a file by link (about 10 min each); sponsor and head of data read and sign the plan (30 min)</t>
        </is>
      </c>
      <c r="F7" s="2" t="inlineStr">
        <is>
          <t>Signed phased plan: trial per measure (match, gap, not yet), risks, bands Now / Next / Later</t>
        </is>
      </c>
      <c r="G7" s="2" t="inlineStr">
        <is>
          <t>Lens remembers known gaps and quality rules per source; the next trial starts from them</t>
        </is>
      </c>
      <c r="H7" s="2" t="n">
        <v>60</v>
      </c>
      <c r="I7" s="2" t="n">
        <v>2.5</v>
      </c>
      <c r="J7" s="2">
        <f>H7-I7</f>
        <v/>
      </c>
      <c r="K7" s="2" t="inlineStr">
        <is>
          <t>Manual: collect samples, profile and reconcile 20 measures against the pack (40-80 h). With the product: uploads plus a 30-min review</t>
        </is>
      </c>
      <c r="L7" s="2" t="inlineStr">
        <is>
          <t>Proof, before any build money is spent, of which numbers can be trusted</t>
        </is>
      </c>
      <c r="M7" s="2" t="inlineStr">
        <is>
          <t>Built</t>
        </is>
      </c>
    </row>
    <row r="8">
      <c r="A8" s="2" t="inlineStr">
        <is>
          <t>7. Blueprint</t>
        </is>
      </c>
      <c r="B8" s="2" t="inlineStr">
        <is>
          <t>Build</t>
        </is>
      </c>
      <c r="C8" s="2" t="inlineStr">
        <is>
          <t>Five environment answers; the signed baseline and plan</t>
        </is>
      </c>
      <c r="D8" s="2" t="inlineStr">
        <is>
          <t>Architect drafts the data model (facts, dimensions, keys), lineage per measure, rules, access per mart, schedule; draws the diagram</t>
        </is>
      </c>
      <c r="E8" s="2" t="inlineStr">
        <is>
          <t>Head of data reviews and signs (about 1 h)</t>
        </is>
      </c>
      <c r="F8" s="2" t="inlineStr">
        <is>
          <t>Signed blueprint.json and its diagram</t>
        </is>
      </c>
      <c r="G8" s="2" t="inlineStr">
        <is>
          <t>Architect remembers the company's naming and modelling choices</t>
        </is>
      </c>
      <c r="H8" s="2" t="n">
        <v>40</v>
      </c>
      <c r="I8" s="2" t="n">
        <v>1.5</v>
      </c>
      <c r="J8" s="2">
        <f>H8-I8</f>
        <v/>
      </c>
      <c r="K8" s="2" t="inlineStr">
        <is>
          <t>Manual: a data architect for about a week. With the product: 20 min of answers plus 1 h of review</t>
        </is>
      </c>
      <c r="L8" s="2" t="inlineStr">
        <is>
          <t>A design traceable to every agreed measure</t>
        </is>
      </c>
      <c r="M8" s="2" t="inlineStr">
        <is>
          <t>Environment built; blueprint to build</t>
        </is>
      </c>
    </row>
    <row r="9">
      <c r="A9" s="2" t="inlineStr">
        <is>
          <t>8. Pipelines and loading</t>
        </is>
      </c>
      <c r="B9" s="2" t="inlineStr">
        <is>
          <t>Build</t>
        </is>
      </c>
      <c r="C9" s="2" t="inlineStr">
        <is>
          <t>Files arriving where the environment check says</t>
        </is>
      </c>
      <c r="D9" s="2" t="inlineStr">
        <is>
          <t>Builder generates one pipeline contract and its code per source; runs bronze, silver, gold into the company's DuckDB; logs every run</t>
        </is>
      </c>
      <c r="E9" s="2" t="inlineStr">
        <is>
          <t>Admin clicks Run now the first time; owners fix a source when a check fails</t>
        </is>
      </c>
      <c r="F9" s="2" t="inlineStr">
        <is>
          <t>A warehouse in the company's own space; a run log</t>
        </is>
      </c>
      <c r="G9" s="2" t="inlineStr">
        <is>
          <t>The runner remembers each source's usual volume and arrival time</t>
        </is>
      </c>
      <c r="H9" s="2" t="n">
        <v>160</v>
      </c>
      <c r="I9" s="2" t="n">
        <v>4</v>
      </c>
      <c r="J9" s="2">
        <f>H9-I9</f>
        <v/>
      </c>
      <c r="K9" s="2" t="inlineStr">
        <is>
          <t>Manual: data engineers for 3-5 weeks for 6-8 sources. With the product: a few hours of review</t>
        </is>
      </c>
      <c r="L9" s="2" t="inlineStr">
        <is>
          <t>Working data without hiring a data team</t>
        </is>
      </c>
      <c r="M9" s="2" t="inlineStr">
        <is>
          <t>Warehouse core built; rest to build</t>
        </is>
      </c>
    </row>
    <row r="10">
      <c r="A10" s="2" t="inlineStr">
        <is>
          <t>9. Prove and release</t>
        </is>
      </c>
      <c r="B10" s="2" t="inlineStr">
        <is>
          <t>Build</t>
        </is>
      </c>
      <c r="C10" s="2" t="inlineStr">
        <is>
          <t>The loaded data; the reported figures</t>
        </is>
      </c>
      <c r="D10" s="2" t="inlineStr">
        <is>
          <t>Prover recomputes each measure for each reported period and explains any gap</t>
        </is>
      </c>
      <c r="E10" s="2" t="inlineStr">
        <is>
          <t>Owners accept or explain gaps; sponsor signs the release</t>
        </is>
      </c>
      <c r="F10" s="2" t="inlineStr">
        <is>
          <t>Release-ready measures with evidence</t>
        </is>
      </c>
      <c r="G10" s="2" t="inlineStr">
        <is>
          <t>Accepted gaps are remembered, so they are not raised again</t>
        </is>
      </c>
      <c r="H10" s="2" t="n">
        <v>40</v>
      </c>
      <c r="I10" s="2" t="n">
        <v>2</v>
      </c>
      <c r="J10" s="2">
        <f>H10-I10</f>
        <v/>
      </c>
      <c r="K10" s="2" t="inlineStr">
        <is>
          <t>Manual: reconciliation by analysts (1 week). With the product: review and sign</t>
        </is>
      </c>
      <c r="L10" s="2" t="inlineStr">
        <is>
          <t>Numbers the committee can trust, with the evidence attached</t>
        </is>
      </c>
      <c r="M10" s="2" t="inlineStr">
        <is>
          <t>To build</t>
        </is>
      </c>
    </row>
    <row r="11">
      <c r="A11" s="2" t="inlineStr">
        <is>
          <t>10. Ops (the Watcher)</t>
        </is>
      </c>
      <c r="B11" s="2" t="inlineStr">
        <is>
          <t>Build</t>
        </is>
      </c>
      <c r="C11" s="2" t="inlineStr">
        <is>
          <t>Nothing new</t>
        </is>
      </c>
      <c r="D11" s="2" t="inlineStr">
        <is>
          <t>Watcher checks each day for late files, failed checks and odd values; tells the owner what to do</t>
        </is>
      </c>
      <c r="E11" s="2" t="inlineStr">
        <is>
          <t>Owner acts on an alert</t>
        </is>
      </c>
      <c r="F11" s="2" t="inlineStr">
        <is>
          <t>A daily status list</t>
        </is>
      </c>
      <c r="G11" s="2" t="inlineStr">
        <is>
          <t>Normal ranges per measure learnt over time</t>
        </is>
      </c>
      <c r="H11" s="2" t="n">
        <v>4</v>
      </c>
      <c r="I11" s="2" t="n">
        <v>0.5</v>
      </c>
      <c r="J11" s="2">
        <f>H11-I11</f>
        <v/>
      </c>
      <c r="K11" s="2" t="inlineStr">
        <is>
          <t>Per week. Manual: someone checks the loads each week (4 h). With the product: act on alerts only</t>
        </is>
      </c>
      <c r="L11" s="2" t="inlineStr">
        <is>
          <t>Problems found before the committee meets, not during it</t>
        </is>
      </c>
      <c r="M11" s="2" t="inlineStr">
        <is>
          <t>To build</t>
        </is>
      </c>
    </row>
    <row r="12">
      <c r="A12" s="2" t="inlineStr">
        <is>
          <t>11. Feeds</t>
        </is>
      </c>
      <c r="B12" s="2" t="inlineStr">
        <is>
          <t>Consume</t>
        </is>
      </c>
      <c r="C12" s="2" t="inlineStr">
        <is>
          <t>Nothing new</t>
        </is>
      </c>
      <c r="D12" s="2" t="inlineStr">
        <is>
          <t>Builds each measure's latest value and trend from the warehouse; respects who may see</t>
        </is>
      </c>
      <c r="E12" s="2" t="inlineStr">
        <is>
          <t>Read; ask a question</t>
        </is>
      </c>
      <c r="F12" s="2" t="inlineStr">
        <is>
          <t>A live view of the agreed measures</t>
        </is>
      </c>
      <c r="G12" s="2" t="inlineStr">
        <is>
          <t>Which measures each person looks at</t>
        </is>
      </c>
      <c r="H12" s="2" t="n">
        <v>40</v>
      </c>
      <c r="I12" s="2" t="n">
        <v>0.5</v>
      </c>
      <c r="J12" s="2">
        <f>H12-I12</f>
        <v/>
      </c>
      <c r="K12" s="2" t="inlineStr">
        <is>
          <t>Manual: build a dashboard (1 week). With the product: it appears from the governed measures</t>
        </is>
      </c>
      <c r="L12" s="2" t="inlineStr">
        <is>
          <t>One version of the numbers for everyone</t>
        </is>
      </c>
      <c r="M12" s="2" t="inlineStr">
        <is>
          <t>To build</t>
        </is>
      </c>
    </row>
    <row r="13">
      <c r="A13" s="2" t="inlineStr">
        <is>
          <t>12. Market forces</t>
        </is>
      </c>
      <c r="B13" s="2" t="inlineStr">
        <is>
          <t>Consume</t>
        </is>
      </c>
      <c r="C13" s="2" t="inlineStr">
        <is>
          <t>Optional licensed feeds; internet switched on per company</t>
        </is>
      </c>
      <c r="D13" s="2" t="inlineStr">
        <is>
          <t>Brings industry briefs and signals next to the company's own measures, marked as outside material</t>
        </is>
      </c>
      <c r="E13" s="2" t="inlineStr">
        <is>
          <t>Read</t>
        </is>
      </c>
      <c r="F13" s="2" t="inlineStr">
        <is>
          <t>Market context next to each measure</t>
        </is>
      </c>
      <c r="G13" s="2" t="inlineStr">
        <is>
          <t>Which signals mattered to this company</t>
        </is>
      </c>
      <c r="H13" s="2" t="n">
        <v>4</v>
      </c>
      <c r="I13" s="2" t="n">
        <v>0.25</v>
      </c>
      <c r="J13" s="2">
        <f>H13-I13</f>
        <v/>
      </c>
      <c r="K13" s="2" t="inlineStr">
        <is>
          <t>Per week. Manual: an analyst gathers market news (4 h). With the product: read the brief</t>
        </is>
      </c>
      <c r="L13" s="2" t="inlineStr">
        <is>
          <t>Context without a research subscription per person</t>
        </is>
      </c>
      <c r="M13" s="2" t="inlineStr">
        <is>
          <t>To build</t>
        </is>
      </c>
    </row>
    <row r="14">
      <c r="A14" s="2" t="inlineStr">
        <is>
          <t>13. What-if</t>
        </is>
      </c>
      <c r="B14" s="2" t="inlineStr">
        <is>
          <t>Consume</t>
        </is>
      </c>
      <c r="C14" s="2" t="inlineStr">
        <is>
          <t>A driver and a change</t>
        </is>
      </c>
      <c r="D14" s="2" t="inlineStr">
        <is>
          <t>Follows the company graph to the measures the driver moves and recalculates them</t>
        </is>
      </c>
      <c r="E14" s="2" t="inlineStr">
        <is>
          <t>Choose the driver and the change; decide</t>
        </is>
      </c>
      <c r="F14" s="2" t="inlineStr">
        <is>
          <t>Which measures move and by how much</t>
        </is>
      </c>
      <c r="G14" s="2" t="inlineStr">
        <is>
          <t>Past scenarios and their outcomes</t>
        </is>
      </c>
      <c r="H14" s="2" t="n">
        <v>8</v>
      </c>
      <c r="I14" s="2" t="n">
        <v>0.5</v>
      </c>
      <c r="J14" s="2">
        <f>H14-I14</f>
        <v/>
      </c>
      <c r="K14" s="2" t="inlineStr">
        <is>
          <t>Per scenario. Manual: an analyst models it in Excel (1 day). With the product: minutes</t>
        </is>
      </c>
      <c r="L14" s="2" t="inlineStr">
        <is>
          <t>Faster decisions with the path shown</t>
        </is>
      </c>
      <c r="M14" s="2" t="inlineStr">
        <is>
          <t>To build</t>
        </is>
      </c>
    </row>
    <row r="15">
      <c r="A15" s="2" t="inlineStr">
        <is>
          <t>14. Agent long-term memory</t>
        </is>
      </c>
      <c r="B15" s="2" t="inlineStr">
        <is>
          <t>All</t>
        </is>
      </c>
      <c r="C15" s="2" t="inlineStr">
        <is>
          <t>Nothing new: it comes from the conversations</t>
        </is>
      </c>
      <c r="D15" s="2" t="inlineStr">
        <is>
          <t>Each agent summarises every conversation into person memory and a de-personalised company memory; compacts as it grows; never keeps anonymous notes, restricted areas or figures</t>
        </is>
      </c>
      <c r="E15" s="2" t="inlineStr">
        <is>
          <t>A person can read, correct or delete what an agent remembers; the admin reviews company memory</t>
        </is>
      </c>
      <c r="F15" s="2" t="inlineStr">
        <is>
          <t>Agents that know the company better each cycle</t>
        </is>
      </c>
      <c r="G15" s="2" t="inlineStr">
        <is>
          <t>This is the memory</t>
        </is>
      </c>
      <c r="H15" s="2" t="n">
        <v>0</v>
      </c>
      <c r="I15" s="2" t="n">
        <v>0</v>
      </c>
      <c r="J15" s="2">
        <f>H15-I15</f>
        <v/>
      </c>
      <c r="K15" s="2" t="inlineStr">
        <is>
          <t>Saving shows in the second cycle: interviews shorter, definitions pre-agreed, Define faster</t>
        </is>
      </c>
      <c r="L15" s="2" t="inlineStr">
        <is>
          <t>The second quarter costs a fraction of the first</t>
        </is>
      </c>
      <c r="M15" s="2" t="inlineStr">
        <is>
          <t>To build (designed: MEM-1, MEM-2)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14" customWidth="1" min="4" max="4"/>
    <col width="18" customWidth="1" min="5" max="5"/>
  </cols>
  <sheetData>
    <row r="1">
      <c r="A1" s="8" t="inlineStr">
        <is>
          <t>Part of the journey</t>
        </is>
      </c>
      <c r="B1" s="8" t="inlineStr">
        <is>
          <t>Human hours by hand</t>
        </is>
      </c>
      <c r="C1" s="8" t="inlineStr">
        <is>
          <t>Human hours with Signal Harbor</t>
        </is>
      </c>
      <c r="D1" s="8" t="inlineStr">
        <is>
          <t>Hours saved</t>
        </is>
      </c>
      <c r="E1" s="8" t="inlineStr">
        <is>
          <t>Share of the work done by agents</t>
        </is>
      </c>
    </row>
    <row r="2">
      <c r="A2" s="2" t="inlineStr">
        <is>
          <t>Intent centre, one cycle (features 1-6)</t>
        </is>
      </c>
      <c r="B2" s="2">
        <f>SUM('Value per feature'!H2:H7)</f>
        <v/>
      </c>
      <c r="C2" s="2">
        <f>SUM('Value per feature'!I2:I7)</f>
        <v/>
      </c>
      <c r="D2" s="2">
        <f>B2-C2</f>
        <v/>
      </c>
      <c r="E2" s="9">
        <f>D2/B2</f>
        <v/>
      </c>
    </row>
    <row r="3">
      <c r="A3" s="2" t="inlineStr">
        <is>
          <t>Build centre, first build (features 7-9)</t>
        </is>
      </c>
      <c r="B3" s="2">
        <f>SUM('Value per feature'!H8:H10)</f>
        <v/>
      </c>
      <c r="C3" s="2">
        <f>SUM('Value per feature'!I8:I10)</f>
        <v/>
      </c>
      <c r="D3" s="2">
        <f>B3-C3</f>
        <v/>
      </c>
      <c r="E3" s="9">
        <f>D3/B3</f>
        <v/>
      </c>
    </row>
    <row r="4">
      <c r="A4" s="2" t="inlineStr">
        <is>
          <t>Running each week (Ops and Market forces)</t>
        </is>
      </c>
      <c r="B4" s="2">
        <f>'Value per feature'!H11+'Value per feature'!H13</f>
        <v/>
      </c>
      <c r="C4" s="2">
        <f>'Value per feature'!I11+'Value per feature'!I13</f>
        <v/>
      </c>
      <c r="D4" s="2">
        <f>B4-C4</f>
        <v/>
      </c>
      <c r="E4" s="9">
        <f>D4/B4</f>
        <v/>
      </c>
    </row>
    <row r="5">
      <c r="A5" t="inlineStr">
        <is>
          <t>Consume set-up (Feeds) and one What-if</t>
        </is>
      </c>
      <c r="B5">
        <f>'Value per feature'!H12+'Value per feature'!H14</f>
        <v/>
      </c>
      <c r="C5">
        <f>'Value per feature'!I12+'Value per feature'!I14</f>
        <v/>
      </c>
      <c r="D5">
        <f>B5-C5</f>
        <v/>
      </c>
      <c r="E5" s="10">
        <f>D5/B5</f>
        <v/>
      </c>
    </row>
    <row r="6">
      <c r="A6" s="2" t="inlineStr">
        <is>
          <t>First cycle: Intent, Build and Consume set-up</t>
        </is>
      </c>
      <c r="B6" s="2">
        <f>B2+B3+B5</f>
        <v/>
      </c>
      <c r="C6" s="2">
        <f>C2+C3+C5</f>
        <v/>
      </c>
      <c r="D6" s="2">
        <f>B6-C6</f>
        <v/>
      </c>
      <c r="E6" s="9">
        <f>D6/B6</f>
        <v/>
      </c>
    </row>
    <row r="7">
      <c r="A7" s="2" t="n"/>
      <c r="B7" s="2" t="n"/>
      <c r="C7" s="2" t="n"/>
      <c r="D7" s="2" t="n"/>
      <c r="E7" s="2" t="n"/>
    </row>
    <row r="8">
      <c r="A8" s="2" t="inlineStr">
        <is>
          <t>All hour figures are estimates to check with the first customer. Measured so far: 10 min to upload the files; interview median 11 min. The by-hand figures assume one analyst or consultant doing the work with the company's people, for about 20 measures and 6-8 sources.</t>
        </is>
      </c>
      <c r="B8" s="2" t="n"/>
      <c r="C8" s="2" t="n"/>
      <c r="D8" s="2" t="n"/>
      <c r="E8" s="2" t="n"/>
    </row>
    <row r="9">
      <c r="A9" s="2" t="inlineStr">
        <is>
          <t>The second cycle should cost less again because the agents remember the company (feature 14). That saving will be measured, not assumed.</t>
        </is>
      </c>
      <c r="B9" s="2" t="n"/>
      <c r="C9" s="2" t="n"/>
      <c r="D9" s="2" t="n"/>
      <c r="E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52" customWidth="1" min="3" max="3"/>
    <col width="40" customWidth="1" min="4" max="4"/>
    <col width="14" customWidth="1" min="5" max="5"/>
    <col width="52" customWidth="1" min="6" max="6"/>
    <col width="12" customWidth="1" min="7" max="7"/>
  </cols>
  <sheetData>
    <row r="1">
      <c r="A1" s="8" t="inlineStr">
        <is>
          <t>Agent</t>
        </is>
      </c>
      <c r="B1" s="8" t="inlineStr">
        <is>
          <t>Feature</t>
        </is>
      </c>
      <c r="C1" s="8" t="inlineStr">
        <is>
          <t>Task</t>
        </is>
      </c>
      <c r="D1" s="8" t="inlineStr">
        <is>
          <t>Files it alone owns</t>
        </is>
      </c>
      <c r="E1" s="8" t="inlineStr">
        <is>
          <t>Waits for</t>
        </is>
      </c>
      <c r="F1" s="8" t="inlineStr">
        <is>
          <t>Advantage</t>
        </is>
      </c>
      <c r="G1" s="8" t="inlineStr">
        <is>
          <t>Your decision</t>
        </is>
      </c>
    </row>
    <row r="2">
      <c r="A2" s="2" t="inlineStr">
        <is>
          <t>0</t>
        </is>
      </c>
      <c r="B2" s="2" t="inlineStr">
        <is>
          <t>Set-up (me)</t>
        </is>
      </c>
      <c r="C2" s="2" t="inlineStr">
        <is>
          <t>Fix the shared shapes first: blueprint file, run log, gold table names, memory entry; add every new route and page as an empty stub</t>
        </is>
      </c>
      <c r="D2" s="2" t="inlineStr">
        <is>
          <t>app.py, App.tsx, route_permissions.yaml, docs/plan/SHAPES.md</t>
        </is>
      </c>
      <c r="E2" s="2" t="inlineStr">
        <is>
          <t>-</t>
        </is>
      </c>
      <c r="F2" s="2" t="inlineStr">
        <is>
          <t>Lets the 20 agents below start at the same moment without editing the same files</t>
        </is>
      </c>
      <c r="G2" s="2" t="inlineStr"/>
    </row>
    <row r="3">
      <c r="A3" s="2" t="inlineStr">
        <is>
          <t>1</t>
        </is>
      </c>
      <c r="B3" s="2" t="inlineStr">
        <is>
          <t>Intent: wall</t>
        </is>
      </c>
      <c r="C3" s="2" t="inlineStr">
        <is>
          <t>Invite panel: join link, seats, revoke</t>
        </is>
      </c>
      <c r="D3" s="2" t="inlineStr">
        <is>
          <t>wall/InvitePanel.tsx</t>
        </is>
      </c>
      <c r="E3" s="2" t="inlineStr">
        <is>
          <t>0</t>
        </is>
      </c>
      <c r="F3" s="2" t="inlineStr">
        <is>
          <t>Organiser can bring people in without the old screen</t>
        </is>
      </c>
      <c r="G3" s="2" t="inlineStr"/>
    </row>
    <row r="4">
      <c r="A4" s="2" t="inlineStr">
        <is>
          <t>2</t>
        </is>
      </c>
      <c r="B4" s="2" t="inlineStr">
        <is>
          <t>Intent: wall</t>
        </is>
      </c>
      <c r="C4" s="2" t="inlineStr">
        <is>
          <t>Organiser stage bar: briefing, open rooms, close, to the wall</t>
        </is>
      </c>
      <c r="D4" s="2" t="inlineStr">
        <is>
          <t>wall/StageBar.tsx</t>
        </is>
      </c>
      <c r="E4" s="2" t="inlineStr">
        <is>
          <t>0</t>
        </is>
      </c>
      <c r="F4" s="2" t="inlineStr">
        <is>
          <t>Organiser runs the whole session from the wall</t>
        </is>
      </c>
      <c r="G4" s="2" t="inlineStr"/>
    </row>
    <row r="5">
      <c r="A5" s="2" t="inlineStr">
        <is>
          <t>3</t>
        </is>
      </c>
      <c r="B5" s="2" t="inlineStr">
        <is>
          <t>Intent: Define</t>
        </is>
      </c>
      <c r="C5" s="2" t="inlineStr">
        <is>
          <t>Charter screen in the new look, signing included</t>
        </is>
      </c>
      <c r="D5" s="2" t="inlineStr">
        <is>
          <t>charter/CharterView.tsx</t>
        </is>
      </c>
      <c r="E5" s="2" t="inlineStr">
        <is>
          <t>0</t>
        </is>
      </c>
      <c r="F5" s="2" t="inlineStr">
        <is>
          <t>Sponsor signs the charter in the new product</t>
        </is>
      </c>
      <c r="G5" s="2" t="inlineStr"/>
    </row>
    <row r="6">
      <c r="A6" s="2" t="inlineStr">
        <is>
          <t>4</t>
        </is>
      </c>
      <c r="B6" s="2" t="inlineStr">
        <is>
          <t>Intent: baseline</t>
        </is>
      </c>
      <c r="C6" s="2" t="inlineStr">
        <is>
          <t>Baseline screen: measures list, status, edit one measure</t>
        </is>
      </c>
      <c r="D6" s="2" t="inlineStr">
        <is>
          <t>pages/BaselinePage.tsx</t>
        </is>
      </c>
      <c r="E6" s="2" t="inlineStr">
        <is>
          <t>0</t>
        </is>
      </c>
      <c r="F6" s="2" t="inlineStr">
        <is>
          <t>Owners finish definitions in one screen, not five</t>
        </is>
      </c>
      <c r="G6" s="2" t="inlineStr"/>
    </row>
    <row r="7">
      <c r="A7" s="2" t="inlineStr">
        <is>
          <t>5</t>
        </is>
      </c>
      <c r="B7" s="2" t="inlineStr">
        <is>
          <t>Intent: baseline</t>
        </is>
      </c>
      <c r="C7" s="2" t="inlineStr">
        <is>
          <t>Baseline sign-off panel</t>
        </is>
      </c>
      <c r="D7" s="2" t="inlineStr">
        <is>
          <t>pages/BaselineSignoff.tsx</t>
        </is>
      </c>
      <c r="E7" s="2" t="inlineStr">
        <is>
          <t>0</t>
        </is>
      </c>
      <c r="F7" s="2" t="inlineStr">
        <is>
          <t>Sponsor signs the baseline; room 3 unlocks</t>
        </is>
      </c>
      <c r="G7" s="2" t="inlineStr"/>
    </row>
    <row r="8">
      <c r="A8" s="2" t="inlineStr">
        <is>
          <t>6</t>
        </is>
      </c>
      <c r="B8" s="2" t="inlineStr">
        <is>
          <t>Intent: bring</t>
        </is>
      </c>
      <c r="C8" s="2" t="inlineStr">
        <is>
          <t>Interview pages in the new look</t>
        </is>
      </c>
      <c r="D8" s="2" t="inlineStr">
        <is>
          <t>pages/InterviewPage.tsx (re-skin)</t>
        </is>
      </c>
      <c r="E8" s="2" t="inlineStr">
        <is>
          <t>0</t>
        </is>
      </c>
      <c r="F8" s="2" t="inlineStr">
        <is>
          <t>People answer in the same look as everything else</t>
        </is>
      </c>
      <c r="G8" s="2" t="inlineStr"/>
    </row>
    <row r="9">
      <c r="A9" s="2" t="inlineStr">
        <is>
          <t>7</t>
        </is>
      </c>
      <c r="B9" s="2" t="inlineStr">
        <is>
          <t>Intent: wall</t>
        </is>
      </c>
      <c r="C9" s="2" t="inlineStr">
        <is>
          <t>Join page and guest private room in the new look</t>
        </is>
      </c>
      <c r="D9" s="2" t="inlineStr">
        <is>
          <t>room/JoinPage.tsx (re-skin)</t>
        </is>
      </c>
      <c r="E9" s="2" t="inlineStr">
        <is>
          <t>0</t>
        </is>
      </c>
      <c r="F9" s="2" t="inlineStr">
        <is>
          <t>Guests without accounts get the new look</t>
        </is>
      </c>
      <c r="G9" s="2" t="inlineStr"/>
    </row>
    <row r="10">
      <c r="A10" s="2" t="inlineStr">
        <is>
          <t>8</t>
        </is>
      </c>
      <c r="B10" s="2" t="inlineStr">
        <is>
          <t>Agent memory</t>
        </is>
      </c>
      <c r="C10" s="2" t="inlineStr">
        <is>
          <t>Memory store: filters, summarise, compact, company digest</t>
        </is>
      </c>
      <c r="D10" s="2" t="inlineStr">
        <is>
          <t>sh_platform/memory/</t>
        </is>
      </c>
      <c r="E10" s="2" t="inlineStr">
        <is>
          <t>0</t>
        </is>
      </c>
      <c r="F10" s="2" t="inlineStr">
        <is>
          <t>Agents learn the company; the next cycle needs less human time</t>
        </is>
      </c>
      <c r="G10" s="2" t="inlineStr"/>
    </row>
    <row r="11">
      <c r="A11" s="2" t="inlineStr">
        <is>
          <t>9</t>
        </is>
      </c>
      <c r="B11" s="2" t="inlineStr">
        <is>
          <t>Agent memory</t>
        </is>
      </c>
      <c r="C11" s="2" t="inlineStr">
        <is>
          <t>Wire memory into North, Lens, Nira; 'what I remember about you' screen</t>
        </is>
      </c>
      <c r="D11" s="2" t="inlineStr">
        <is>
          <t>agent prompt files, pages/MemoryPage.tsx</t>
        </is>
      </c>
      <c r="E11" s="2" t="inlineStr">
        <is>
          <t>0 (shape), 8 to land</t>
        </is>
      </c>
      <c r="F11" s="2" t="inlineStr">
        <is>
          <t>People see and correct what agents remember</t>
        </is>
      </c>
      <c r="G11" s="2" t="inlineStr"/>
    </row>
    <row r="12">
      <c r="A12" s="2" t="inlineStr">
        <is>
          <t>10</t>
        </is>
      </c>
      <c r="B12" s="2" t="inlineStr">
        <is>
          <t>Build: blueprint</t>
        </is>
      </c>
      <c r="C12" s="2" t="inlineStr">
        <is>
          <t>Architect: draft blueprint.json from the signed baseline and plan</t>
        </is>
      </c>
      <c r="D12" s="2" t="inlineStr">
        <is>
          <t>sh_platform/build/blueprint.py</t>
        </is>
      </c>
      <c r="E12" s="2" t="inlineStr">
        <is>
          <t>0</t>
        </is>
      </c>
      <c r="F12" s="2" t="inlineStr">
        <is>
          <t>Replaces about a week of a data architect</t>
        </is>
      </c>
      <c r="G12" s="2" t="inlineStr"/>
    </row>
    <row r="13">
      <c r="A13" s="2" t="inlineStr">
        <is>
          <t>11</t>
        </is>
      </c>
      <c r="B13" s="2" t="inlineStr">
        <is>
          <t>Build: blueprint</t>
        </is>
      </c>
      <c r="C13" s="2" t="inlineStr">
        <is>
          <t>Blueprint screen and sign</t>
        </is>
      </c>
      <c r="D13" s="2" t="inlineStr">
        <is>
          <t>pages/BlueprintPage.tsx</t>
        </is>
      </c>
      <c r="E13" s="2" t="inlineStr">
        <is>
          <t>0</t>
        </is>
      </c>
      <c r="F13" s="2" t="inlineStr">
        <is>
          <t>Head of data signs the design in one screen</t>
        </is>
      </c>
      <c r="G13" s="2" t="inlineStr"/>
    </row>
    <row r="14">
      <c r="A14" s="2" t="inlineStr">
        <is>
          <t>12</t>
        </is>
      </c>
      <c r="B14" s="2" t="inlineStr">
        <is>
          <t>Build: pipelines</t>
        </is>
      </c>
      <c r="C14" s="2" t="inlineStr">
        <is>
          <t>Pipeline contracts and runner: silver and gold, run log</t>
        </is>
      </c>
      <c r="D14" s="2" t="inlineStr">
        <is>
          <t>sh_platform/build/runner.py</t>
        </is>
      </c>
      <c r="E14" s="2" t="inlineStr">
        <is>
          <t>0</t>
        </is>
      </c>
      <c r="F14" s="2" t="inlineStr">
        <is>
          <t>Replaces weeks of data engineering</t>
        </is>
      </c>
      <c r="G14" s="2" t="inlineStr"/>
    </row>
    <row r="15">
      <c r="A15" s="2" t="inlineStr">
        <is>
          <t>13</t>
        </is>
      </c>
      <c r="B15" s="2" t="inlineStr">
        <is>
          <t>Build: pipelines</t>
        </is>
      </c>
      <c r="C15" s="2" t="inlineStr">
        <is>
          <t>Pipelines screen with Run now and the run log</t>
        </is>
      </c>
      <c r="D15" s="2" t="inlineStr">
        <is>
          <t>pages/PipelinesPage.tsx</t>
        </is>
      </c>
      <c r="E15" s="2" t="inlineStr">
        <is>
          <t>0</t>
        </is>
      </c>
      <c r="F15" s="2" t="inlineStr">
        <is>
          <t>Admin loads data with one click</t>
        </is>
      </c>
      <c r="G15" s="2" t="inlineStr"/>
    </row>
    <row r="16">
      <c r="A16" s="2" t="inlineStr">
        <is>
          <t>14</t>
        </is>
      </c>
      <c r="B16" s="2" t="inlineStr">
        <is>
          <t>Build: data</t>
        </is>
      </c>
      <c r="C16" s="2" t="inlineStr">
        <is>
          <t>Demo gold tables for the family office (synthetic)</t>
        </is>
      </c>
      <c r="D16" s="2" t="inlineStr">
        <is>
          <t>packs/family_office demo data, seed script</t>
        </is>
      </c>
      <c r="E16" s="2" t="inlineStr">
        <is>
          <t>0</t>
        </is>
      </c>
      <c r="F16" s="2" t="inlineStr">
        <is>
          <t>Consume screens can be built before real loads exist</t>
        </is>
      </c>
      <c r="G16" s="2" t="inlineStr"/>
    </row>
    <row r="17">
      <c r="A17" s="2" t="inlineStr">
        <is>
          <t>15</t>
        </is>
      </c>
      <c r="B17" s="2" t="inlineStr">
        <is>
          <t>Build: prove</t>
        </is>
      </c>
      <c r="C17" s="2" t="inlineStr">
        <is>
          <t>Prover: recompute each measure from gold, compare with reported</t>
        </is>
      </c>
      <c r="D17" s="2" t="inlineStr">
        <is>
          <t>sh_platform/build/prove.py</t>
        </is>
      </c>
      <c r="E17" s="2" t="inlineStr">
        <is>
          <t>0</t>
        </is>
      </c>
      <c r="F17" s="2" t="inlineStr">
        <is>
          <t>Evidence per measure without analyst reconciliation</t>
        </is>
      </c>
      <c r="G17" s="2" t="inlineStr"/>
    </row>
    <row r="18">
      <c r="A18" s="2" t="inlineStr">
        <is>
          <t>16</t>
        </is>
      </c>
      <c r="B18" s="2" t="inlineStr">
        <is>
          <t>Build: prove</t>
        </is>
      </c>
      <c r="C18" s="2" t="inlineStr">
        <is>
          <t>Prove and release screen with sponsor sign</t>
        </is>
      </c>
      <c r="D18" s="2" t="inlineStr">
        <is>
          <t>pages/ProvePage.tsx</t>
        </is>
      </c>
      <c r="E18" s="2" t="inlineStr">
        <is>
          <t>0</t>
        </is>
      </c>
      <c r="F18" s="2" t="inlineStr">
        <is>
          <t>Sponsor releases numbers with the evidence attached</t>
        </is>
      </c>
      <c r="G18" s="2" t="inlineStr"/>
    </row>
    <row r="19">
      <c r="A19" s="2" t="inlineStr">
        <is>
          <t>17</t>
        </is>
      </c>
      <c r="B19" s="2" t="inlineStr">
        <is>
          <t>Build: ops</t>
        </is>
      </c>
      <c r="C19" s="2" t="inlineStr">
        <is>
          <t>Ops screen over the run log</t>
        </is>
      </c>
      <c r="D19" s="2" t="inlineStr">
        <is>
          <t>pages/OpsPage.tsx</t>
        </is>
      </c>
      <c r="E19" s="2" t="inlineStr">
        <is>
          <t>0</t>
        </is>
      </c>
      <c r="F19" s="2" t="inlineStr">
        <is>
          <t>Late or failed loads found before the committee meets</t>
        </is>
      </c>
      <c r="G19" s="2" t="inlineStr"/>
    </row>
    <row r="20">
      <c r="A20" s="2" t="inlineStr">
        <is>
          <t>18</t>
        </is>
      </c>
      <c r="B20" s="2" t="inlineStr">
        <is>
          <t>Consume</t>
        </is>
      </c>
      <c r="C20" s="2" t="inlineStr">
        <is>
          <t>Consume home and Feeds</t>
        </is>
      </c>
      <c r="D20" s="2" t="inlineStr">
        <is>
          <t>pages/ConsumeCentre.tsx, pages/FeedsPage.tsx</t>
        </is>
      </c>
      <c r="E20" s="2" t="inlineStr">
        <is>
          <t>0</t>
        </is>
      </c>
      <c r="F20" s="2" t="inlineStr">
        <is>
          <t>Everyone sees one version of the numbers</t>
        </is>
      </c>
      <c r="G20" s="2" t="inlineStr"/>
    </row>
    <row r="21">
      <c r="A21" s="2" t="inlineStr">
        <is>
          <t>19</t>
        </is>
      </c>
      <c r="B21" s="2" t="inlineStr">
        <is>
          <t>Consume</t>
        </is>
      </c>
      <c r="C21" s="2" t="inlineStr">
        <is>
          <t>Market forces</t>
        </is>
      </c>
      <c r="D21" s="2" t="inlineStr">
        <is>
          <t>pages/MarketPage.tsx</t>
        </is>
      </c>
      <c r="E21" s="2" t="inlineStr">
        <is>
          <t>0</t>
        </is>
      </c>
      <c r="F21" s="2" t="inlineStr">
        <is>
          <t>Market context next to the company's own measures</t>
        </is>
      </c>
      <c r="G21" s="2" t="inlineStr"/>
    </row>
    <row r="22">
      <c r="A22" s="2" t="inlineStr">
        <is>
          <t>20</t>
        </is>
      </c>
      <c r="B22" s="2" t="inlineStr">
        <is>
          <t>Consume</t>
        </is>
      </c>
      <c r="C22" s="2" t="inlineStr">
        <is>
          <t>What-if</t>
        </is>
      </c>
      <c r="D22" s="2" t="inlineStr">
        <is>
          <t>pages/WhatIfPage.tsx, sh_platform/build/whatif.py</t>
        </is>
      </c>
      <c r="E22" s="2" t="inlineStr">
        <is>
          <t>0</t>
        </is>
      </c>
      <c r="F22" s="2" t="inlineStr">
        <is>
          <t>Scenarios in minutes instead of a day in Excel</t>
        </is>
      </c>
      <c r="G22" s="2" t="inlineStr"/>
    </row>
    <row r="23">
      <c r="A23" s="2" t="inlineStr">
        <is>
          <t>P1</t>
        </is>
      </c>
      <c r="B23" s="2" t="inlineStr">
        <is>
          <t>Pulse</t>
        </is>
      </c>
      <c r="C23" s="2" t="inlineStr">
        <is>
          <t>Pulse route: one read over sessions, baselines, assessments, run log, graph and packs, filtered by viewer; at most seven lines</t>
        </is>
      </c>
      <c r="D23" s="2" t="inlineStr">
        <is>
          <t>sh_platform/pulse/</t>
        </is>
      </c>
      <c r="E23" s="2" t="inlineStr">
        <is>
          <t>0</t>
        </is>
      </c>
      <c r="F23" s="2" t="inlineStr">
        <is>
          <t>The data for every landing page</t>
        </is>
      </c>
    </row>
    <row r="24">
      <c r="A24" s="2" t="inlineStr">
        <is>
          <t>P2</t>
        </is>
      </c>
      <c r="B24" s="2" t="inlineStr">
        <is>
          <t>Pulse</t>
        </is>
      </c>
      <c r="C24" s="2" t="inlineStr">
        <is>
          <t>Pulse page, desktop and phone: four strips, deep links, nothing-needs-you state; becomes the landing page</t>
        </is>
      </c>
      <c r="D24" s="2" t="inlineStr">
        <is>
          <t>pages/PulsePage.tsx</t>
        </is>
      </c>
      <c r="E24" s="2" t="inlineStr">
        <is>
          <t>0</t>
        </is>
      </c>
      <c r="F24" s="2" t="inlineStr">
        <is>
          <t>The new front door, as designed on the canvas</t>
        </is>
      </c>
    </row>
    <row r="25">
      <c r="A25" s="2" t="inlineStr">
        <is>
          <t>P3</t>
        </is>
      </c>
      <c r="B25" s="2" t="inlineStr">
        <is>
          <t>Pulse</t>
        </is>
      </c>
      <c r="C25" s="2" t="inlineStr">
        <is>
          <t>Role gates: Build and Ops only for the data team, Control for admins, centres hidden otherwise</t>
        </is>
      </c>
      <c r="D25" s="2" t="inlineStr">
        <is>
          <t>shell role rules</t>
        </is>
      </c>
      <c r="E25" s="2" t="inlineStr">
        <is>
          <t>0</t>
        </is>
      </c>
      <c r="F25" s="2" t="inlineStr">
        <is>
          <t>Nobody sees what is not theirs</t>
        </is>
      </c>
    </row>
    <row r="26">
      <c r="A26" s="2" t="inlineStr">
        <is>
          <t>P4</t>
        </is>
      </c>
      <c r="B26" s="2" t="inlineStr">
        <is>
          <t>Pulse</t>
        </is>
      </c>
      <c r="C26" s="2" t="inlineStr">
        <is>
          <t>Nira's drafted messages by email through the gateway: invite, reminder, sponsor ask, daily ops report</t>
        </is>
      </c>
      <c r="D26" s="2" t="inlineStr">
        <is>
          <t>sh_platform/pulse/messages.py</t>
        </is>
      </c>
      <c r="E26" s="2" t="inlineStr">
        <is>
          <t>0</t>
        </is>
      </c>
      <c r="F26" s="2" t="inlineStr">
        <is>
          <t>The pulse reaches people where they are</t>
        </is>
      </c>
    </row>
    <row r="27">
      <c r="A27" s="2" t="inlineStr">
        <is>
          <t>M1</t>
        </is>
      </c>
      <c r="B27" s="2" t="inlineStr">
        <is>
          <t>Map</t>
        </is>
      </c>
      <c r="C27" s="2" t="inlineStr">
        <is>
          <t>Map provenance and versions: every node carries which session, who signed, when; a version per change</t>
        </is>
      </c>
      <c r="D27" s="2" t="inlineStr">
        <is>
          <t>sh_platform/graph/versions.py</t>
        </is>
      </c>
      <c r="E27" s="2" t="inlineStr">
        <is>
          <t>0</t>
        </is>
      </c>
      <c r="F27" s="2" t="inlineStr">
        <is>
          <t>Source of truth on every thing</t>
        </is>
      </c>
    </row>
    <row r="28">
      <c r="A28" s="2" t="inlineStr">
        <is>
          <t>M2</t>
        </is>
      </c>
      <c r="B28" s="2" t="inlineStr">
        <is>
          <t>Map</t>
        </is>
      </c>
      <c r="C28" s="2" t="inlineStr">
        <is>
          <t>Comments, suggestions and ambiguity flags on a node; routed to the owner's pulse; steward accepts or declines</t>
        </is>
      </c>
      <c r="D28" s="2" t="inlineStr">
        <is>
          <t>sh_platform/graph/comments.py, pages/NodePage.tsx</t>
        </is>
      </c>
      <c r="E28" s="2" t="inlineStr">
        <is>
          <t>0</t>
        </is>
      </c>
      <c r="F28" s="2" t="inlineStr">
        <is>
          <t>People make the ontology better; one steward keeps it coherent</t>
        </is>
      </c>
    </row>
    <row r="29">
      <c r="A29" s="2" t="inlineStr">
        <is>
          <t>M3</t>
        </is>
      </c>
      <c r="B29" s="2" t="inlineStr">
        <is>
          <t>Map</t>
        </is>
      </c>
      <c r="C29" s="2" t="inlineStr">
        <is>
          <t>Signed register page: every signed KPI and definition with owner, pipeline, signers, version</t>
        </is>
      </c>
      <c r="D29" s="2" t="inlineStr">
        <is>
          <t>pages/RegisterPage.tsx</t>
        </is>
      </c>
      <c r="E29" s="2" t="inlineStr">
        <is>
          <t>0</t>
        </is>
      </c>
      <c r="F29" s="2" t="inlineStr">
        <is>
          <t>Data democratisation: who owns what, in one place</t>
        </is>
      </c>
    </row>
    <row r="30">
      <c r="A30" s="2" t="inlineStr">
        <is>
          <t>M4</t>
        </is>
      </c>
      <c r="B30" s="2" t="inlineStr">
        <is>
          <t>Map</t>
        </is>
      </c>
      <c r="C30" s="2" t="inlineStr">
        <is>
          <t>Pipeline nodes: design, UAT and release signatures and code commits on the map</t>
        </is>
      </c>
      <c r="D30" s="2" t="inlineStr">
        <is>
          <t>sh_platform/graph/build_nodes.py</t>
        </is>
      </c>
      <c r="E30" s="2" t="inlineStr">
        <is>
          <t>0 (shape)</t>
        </is>
      </c>
      <c r="F30" s="2" t="inlineStr">
        <is>
          <t>Trace how the numbers were built and by whom</t>
        </is>
      </c>
    </row>
    <row r="31">
      <c r="A31" s="2" t="inlineStr">
        <is>
          <t>R1</t>
        </is>
      </c>
      <c r="B31" s="2" t="inlineStr">
        <is>
          <t>Charter</t>
        </is>
      </c>
      <c r="C31" s="2" t="inlineStr">
        <is>
          <t>Build roles named at the charter: architect, developer, tester or UAT sponsor, sponsor, ops, informed</t>
        </is>
      </c>
      <c r="D31" s="2" t="inlineStr">
        <is>
          <t>charter contract and screen</t>
        </is>
      </c>
      <c r="E31" s="2" t="inlineStr">
        <is>
          <t>0</t>
        </is>
      </c>
      <c r="F31" s="2" t="inlineStr">
        <is>
          <t>Every hand-over has a named person</t>
        </is>
      </c>
    </row>
    <row r="32">
      <c r="A32" s="2" t="inlineStr">
        <is>
          <t>R2</t>
        </is>
      </c>
      <c r="B32" s="2" t="inlineStr">
        <is>
          <t>Build</t>
        </is>
      </c>
      <c r="C32" s="2" t="inlineStr">
        <is>
          <t>UAT sign-off step between reconcile and release, by the named tester</t>
        </is>
      </c>
      <c r="D32" s="2" t="inlineStr">
        <is>
          <t>sh_platform/build/uat.py, ProvePage</t>
        </is>
      </c>
      <c r="E32" s="2" t="inlineStr">
        <is>
          <t>0</t>
        </is>
      </c>
      <c r="F32" s="2" t="inlineStr">
        <is>
          <t>Nothing goes live that the business did not test</t>
        </is>
      </c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inlineStr">
        <is>
          <t>Plan</t>
        </is>
      </c>
      <c r="B34" s="2" t="inlineStr">
        <is>
          <t>Step 0 by me (about 25 min: shared shapes incl. pulse line, map version, comment, register), then agents 1-20 plus P1-P4, M1-M4, R1-R2 (30 agents) all at once on Sonnet; I review and land each as it finishes, then walk the whole journey once.</t>
        </is>
      </c>
      <c r="C34" s="2" t="n"/>
      <c r="D34" s="2" t="n"/>
      <c r="E34" s="2" t="n"/>
      <c r="F34" s="2" t="n"/>
      <c r="G34" s="2" t="n"/>
    </row>
    <row r="35">
      <c r="A35" s="2" t="inlineStr">
        <is>
          <t>Time</t>
        </is>
      </c>
      <c r="B35" s="2" t="inlineStr">
        <is>
          <t>About 25 min set-up, about 60-90 min for all 30 builds in parallel, about 15 min per landing as they arrive, then about 2 h for the journey walk and fixes. Roughly 5 hours in total.</t>
        </is>
      </c>
      <c r="C35" s="2" t="n"/>
      <c r="D35" s="2" t="n"/>
      <c r="E35" s="2" t="n"/>
      <c r="F35" s="2" t="n"/>
      <c r="G3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4" customWidth="1" min="4" max="4"/>
    <col width="46" customWidth="1" min="5" max="5"/>
    <col width="40" customWidth="1" min="6" max="6"/>
    <col width="22" customWidth="1" min="7" max="7"/>
    <col width="44" customWidth="1" min="8" max="8"/>
    <col width="9" customWidth="1" min="9" max="9"/>
    <col width="9" customWidth="1" min="10" max="10"/>
    <col width="44" customWidth="1" min="11" max="11"/>
    <col width="40" customWidth="1" min="12" max="12"/>
    <col width="12" customWidth="1" min="13" max="13"/>
    <col width="30" customWidth="1" min="14" max="14"/>
  </cols>
  <sheetData>
    <row r="1">
      <c r="A1" s="1" t="inlineStr">
        <is>
          <t>Step</t>
        </is>
      </c>
      <c r="B1" s="1" t="inlineStr">
        <is>
          <t>Stage</t>
        </is>
      </c>
      <c r="C1" s="1" t="inlineStr">
        <is>
          <t>Who</t>
        </is>
      </c>
      <c r="D1" s="1" t="inlineStr">
        <is>
          <t>Screen and address</t>
        </is>
      </c>
      <c r="E1" s="1" t="inlineStr">
        <is>
          <t>What the person does</t>
        </is>
      </c>
      <c r="F1" s="1" t="inlineStr">
        <is>
          <t>What they see</t>
        </is>
      </c>
      <c r="G1" s="1" t="inlineStr">
        <is>
          <t>State today</t>
        </is>
      </c>
      <c r="H1" s="1" t="inlineStr">
        <is>
          <t>Work to do</t>
        </is>
      </c>
      <c r="I1" s="1" t="inlineStr">
        <is>
          <t>Package</t>
        </is>
      </c>
      <c r="J1" s="1" t="inlineStr">
        <is>
          <t>Build minutes</t>
        </is>
      </c>
      <c r="K1" s="1" t="inlineStr">
        <is>
          <t>Why this long</t>
        </is>
      </c>
      <c r="L1" s="1" t="inlineStr">
        <is>
          <t>Test</t>
        </is>
      </c>
      <c r="M1" s="1" t="inlineStr">
        <is>
          <t>Your decision</t>
        </is>
      </c>
      <c r="N1" s="1" t="inlineStr">
        <is>
          <t>Your comment</t>
        </is>
      </c>
    </row>
    <row r="2">
      <c r="A2" s="2" t="inlineStr">
        <is>
          <t>A1</t>
        </is>
      </c>
      <c r="B2" s="2" t="inlineStr">
        <is>
          <t>Set up</t>
        </is>
      </c>
      <c r="C2" s="2" t="inlineStr">
        <is>
          <t>Super admin</t>
        </is>
      </c>
      <c r="D2" s="2" t="inlineStr">
        <is>
          <t>Control panel  /centre/control</t>
        </is>
      </c>
      <c r="E2" s="2" t="inlineStr">
        <is>
          <t>Signs in, opens the Control panel, creates the company, switches the Intent and Build centres on</t>
        </is>
      </c>
      <c r="F2" s="2" t="inlineStr">
        <is>
          <t>Company list, centre and module switches</t>
        </is>
      </c>
      <c r="G2" s="3" t="inlineStr">
        <is>
          <t>Works in the new look</t>
        </is>
      </c>
      <c r="H2" s="2" t="inlineStr">
        <is>
          <t>None</t>
        </is>
      </c>
      <c r="I2" s="2" t="inlineStr">
        <is>
          <t>-</t>
        </is>
      </c>
      <c r="J2" s="2" t="n">
        <v>0</v>
      </c>
      <c r="K2" s="2" t="inlineStr">
        <is>
          <t>Built (IC-5b)</t>
        </is>
      </c>
      <c r="L2" s="2" t="inlineStr">
        <is>
          <t>-</t>
        </is>
      </c>
      <c r="M2" s="2" t="inlineStr"/>
      <c r="N2" s="2" t="inlineStr"/>
    </row>
    <row r="3">
      <c r="A3" s="2" t="inlineStr">
        <is>
          <t>A2</t>
        </is>
      </c>
      <c r="B3" s="2" t="inlineStr">
        <is>
          <t>Set up</t>
        </is>
      </c>
      <c r="C3" s="2" t="inlineStr">
        <is>
          <t>Super admin</t>
        </is>
      </c>
      <c r="D3" s="2" t="inlineStr">
        <is>
          <t>None (seed file)</t>
        </is>
      </c>
      <c r="E3" s="2" t="inlineStr">
        <is>
          <t>Creates the company admin and people accounts</t>
        </is>
      </c>
      <c r="F3" s="2" t="inlineStr">
        <is>
          <t>Accounts exist from the seed file data/_control/seed_credentials.txt</t>
        </is>
      </c>
      <c r="G3" s="4" t="inlineStr">
        <is>
          <t>Not in MVP</t>
        </is>
      </c>
      <c r="H3" s="2" t="inlineStr">
        <is>
          <t>Invite-by-email screen later</t>
        </is>
      </c>
      <c r="I3" s="2" t="inlineStr">
        <is>
          <t>-</t>
        </is>
      </c>
      <c r="J3" s="2" t="n">
        <v>0</v>
      </c>
      <c r="K3" s="2" t="inlineStr">
        <is>
          <t>Demo uses seeded accounts</t>
        </is>
      </c>
      <c r="L3" s="2" t="inlineStr">
        <is>
          <t>-</t>
        </is>
      </c>
      <c r="M3" s="2" t="inlineStr"/>
      <c r="N3" s="2" t="inlineStr"/>
    </row>
    <row r="4">
      <c r="A4" s="2" t="inlineStr">
        <is>
          <t>B1</t>
        </is>
      </c>
      <c r="B4" s="2" t="inlineStr">
        <is>
          <t>Sign in</t>
        </is>
      </c>
      <c r="C4" s="2" t="inlineStr">
        <is>
          <t>Company admin</t>
        </is>
      </c>
      <c r="D4" s="2" t="inlineStr">
        <is>
          <t>Sign-in page  /login</t>
        </is>
      </c>
      <c r="E4" s="2" t="inlineStr">
        <is>
          <t>Types email and password</t>
        </is>
      </c>
      <c r="F4" s="2" t="inlineStr">
        <is>
          <t>Lands on the Intent centre home</t>
        </is>
      </c>
      <c r="G4" s="3" t="inlineStr">
        <is>
          <t>Works in the new look</t>
        </is>
      </c>
      <c r="H4" s="2" t="inlineStr">
        <is>
          <t>None</t>
        </is>
      </c>
      <c r="I4" s="2" t="inlineStr">
        <is>
          <t>-</t>
        </is>
      </c>
      <c r="J4" s="2" t="n">
        <v>0</v>
      </c>
      <c r="K4" s="2" t="inlineStr">
        <is>
          <t>Built (IC-S2)</t>
        </is>
      </c>
      <c r="L4" s="2" t="inlineStr">
        <is>
          <t>-</t>
        </is>
      </c>
      <c r="M4" s="2" t="inlineStr"/>
      <c r="N4" s="2" t="inlineStr"/>
    </row>
    <row r="5">
      <c r="A5" s="2" t="inlineStr">
        <is>
          <t>C1</t>
        </is>
      </c>
      <c r="B5" s="2" t="inlineStr">
        <is>
          <t>Intent: start</t>
        </is>
      </c>
      <c r="C5" s="2" t="inlineStr">
        <is>
          <t>Company admin</t>
        </is>
      </c>
      <c r="D5" s="2" t="inlineStr">
        <is>
          <t>Intent home  /centre/intent</t>
        </is>
      </c>
      <c r="E5" s="2" t="inlineStr">
        <is>
          <t>Reads the three rooms and the counts</t>
        </is>
      </c>
      <c r="F5" s="2" t="inlineStr">
        <is>
          <t>Room 1 lit, rooms 2 and 3 dim until the room before is done</t>
        </is>
      </c>
      <c r="G5" s="3" t="inlineStr">
        <is>
          <t>Works in the new look</t>
        </is>
      </c>
      <c r="H5" s="2" t="inlineStr">
        <is>
          <t>None</t>
        </is>
      </c>
      <c r="I5" s="2" t="inlineStr">
        <is>
          <t>-</t>
        </is>
      </c>
      <c r="J5" s="2" t="n">
        <v>0</v>
      </c>
      <c r="K5" s="2" t="inlineStr">
        <is>
          <t>Built (IC-1b, IC-2w)</t>
        </is>
      </c>
      <c r="L5" s="2" t="inlineStr">
        <is>
          <t>-</t>
        </is>
      </c>
      <c r="M5" s="2" t="inlineStr"/>
      <c r="N5" s="2" t="inlineStr"/>
    </row>
    <row r="6">
      <c r="A6" s="2" t="inlineStr">
        <is>
          <t>C2</t>
        </is>
      </c>
      <c r="B6" s="2" t="inlineStr">
        <is>
          <t>Intent: bring</t>
        </is>
      </c>
      <c r="C6" s="2" t="inlineStr">
        <is>
          <t>Company admin</t>
        </is>
      </c>
      <c r="D6" s="2" t="inlineStr">
        <is>
          <t>Bring what you have  /centre/intent/bring</t>
        </is>
      </c>
      <c r="E6" s="2" t="inlineStr">
        <is>
          <t>Uploads strategy notes, policies, reports into nine tiles</t>
        </is>
      </c>
      <c r="F6" s="2" t="inlineStr">
        <is>
          <t>Each tile: read or nothing new; readiness bar; what is still missing</t>
        </is>
      </c>
      <c r="G6" s="3" t="inlineStr">
        <is>
          <t>Works in the new look</t>
        </is>
      </c>
      <c r="H6" s="2" t="inlineStr">
        <is>
          <t>None</t>
        </is>
      </c>
      <c r="I6" s="2" t="inlineStr">
        <is>
          <t>-</t>
        </is>
      </c>
      <c r="J6" s="2" t="n">
        <v>0</v>
      </c>
      <c r="K6" s="2" t="inlineStr">
        <is>
          <t>Built (IC-0, IC-S1)</t>
        </is>
      </c>
      <c r="L6" s="2" t="inlineStr">
        <is>
          <t>-</t>
        </is>
      </c>
      <c r="M6" s="2" t="inlineStr"/>
      <c r="N6" s="2" t="inlineStr"/>
    </row>
    <row r="7">
      <c r="A7" s="2" t="inlineStr">
        <is>
          <t>C3</t>
        </is>
      </c>
      <c r="B7" s="2" t="inlineStr">
        <is>
          <t>Intent: bring</t>
        </is>
      </c>
      <c r="C7" s="2" t="inlineStr">
        <is>
          <t>Company admin</t>
        </is>
      </c>
      <c r="D7" s="2" t="inlineStr">
        <is>
          <t>Interviews  /company/interview</t>
        </is>
      </c>
      <c r="E7" s="2" t="inlineStr">
        <is>
          <t>Sends a short interview link to each key person</t>
        </is>
      </c>
      <c r="F7" s="2" t="inlineStr">
        <is>
          <t>Who answered, who has not</t>
        </is>
      </c>
      <c r="G7" s="5" t="inlineStr">
        <is>
          <t>Works, old screen only</t>
        </is>
      </c>
      <c r="H7" s="2" t="inlineStr">
        <is>
          <t>Re-skin into the new look</t>
        </is>
      </c>
      <c r="I7" s="2" t="inlineStr">
        <is>
          <t>W1-D</t>
        </is>
      </c>
      <c r="J7" s="2" t="n">
        <v>15</v>
      </c>
      <c r="K7" s="2" t="inlineStr">
        <is>
          <t>Look-only change: same data and calls; copy the page frame used by Bring</t>
        </is>
      </c>
      <c r="L7" s="2" t="inlineStr">
        <is>
          <t>Builder: 2 to 4 tests for this step only. Me: click through once as this person.</t>
        </is>
      </c>
      <c r="M7" s="2" t="inlineStr"/>
      <c r="N7" s="2" t="inlineStr"/>
    </row>
    <row r="8">
      <c r="A8" s="2" t="inlineStr">
        <is>
          <t>C4</t>
        </is>
      </c>
      <c r="B8" s="2" t="inlineStr">
        <is>
          <t>Intent: bring</t>
        </is>
      </c>
      <c r="C8" s="2" t="inlineStr">
        <is>
          <t>Person interviewed (no account)</t>
        </is>
      </c>
      <c r="D8" s="2" t="inlineStr">
        <is>
          <t>Interview by link  /interview/:token</t>
        </is>
      </c>
      <c r="E8" s="2" t="inlineStr">
        <is>
          <t>Answers questions by text or voice</t>
        </is>
      </c>
      <c r="F8" s="2" t="inlineStr">
        <is>
          <t>Thank-you page</t>
        </is>
      </c>
      <c r="G8" s="5" t="inlineStr">
        <is>
          <t>Works, old screen only</t>
        </is>
      </c>
      <c r="H8" s="2" t="inlineStr">
        <is>
          <t>Re-skin with the link-page frame built tonight</t>
        </is>
      </c>
      <c r="I8" s="2" t="inlineStr">
        <is>
          <t>W1-D</t>
        </is>
      </c>
      <c r="J8" s="2" t="n">
        <v>10</v>
      </c>
      <c r="K8" s="2" t="inlineStr">
        <is>
          <t>Same as the upload-by-link page done tonight</t>
        </is>
      </c>
      <c r="L8" s="2" t="inlineStr">
        <is>
          <t>Builder: 2 to 4 tests for this step only. Me: click through once as this person.</t>
        </is>
      </c>
      <c r="M8" s="2" t="inlineStr"/>
      <c r="N8" s="2" t="inlineStr"/>
    </row>
    <row r="9">
      <c r="A9" s="2" t="inlineStr">
        <is>
          <t>D1</t>
        </is>
      </c>
      <c r="B9" s="2" t="inlineStr">
        <is>
          <t>Room 1: the wall</t>
        </is>
      </c>
      <c r="C9" s="2" t="inlineStr">
        <is>
          <t>Company admin (organiser)</t>
        </is>
      </c>
      <c r="D9" s="2" t="inlineStr">
        <is>
          <t>Home: Start the wall</t>
        </is>
      </c>
      <c r="E9" s="2" t="inlineStr">
        <is>
          <t>Clicks Start the wall; types topic, purpose, days</t>
        </is>
      </c>
      <c r="F9" s="2" t="inlineStr">
        <is>
          <t>The wall opens</t>
        </is>
      </c>
      <c r="G9" s="3" t="inlineStr">
        <is>
          <t>Works in the new look</t>
        </is>
      </c>
      <c r="H9" s="2" t="inlineStr">
        <is>
          <t>None</t>
        </is>
      </c>
      <c r="I9" s="2" t="inlineStr">
        <is>
          <t>-</t>
        </is>
      </c>
      <c r="J9" s="2" t="n">
        <v>0</v>
      </c>
      <c r="K9" s="2" t="inlineStr">
        <is>
          <t>Built (IC-2t, IC-2x)</t>
        </is>
      </c>
      <c r="L9" s="2" t="inlineStr">
        <is>
          <t>-</t>
        </is>
      </c>
      <c r="M9" s="2" t="inlineStr"/>
      <c r="N9" s="2" t="inlineStr"/>
    </row>
    <row r="10">
      <c r="A10" s="2" t="inlineStr">
        <is>
          <t>D2</t>
        </is>
      </c>
      <c r="B10" s="2" t="inlineStr">
        <is>
          <t>Room 1: the wall</t>
        </is>
      </c>
      <c r="C10" s="2" t="inlineStr">
        <is>
          <t>Organiser</t>
        </is>
      </c>
      <c r="D10" s="2" t="inlineStr">
        <is>
          <t>The wall  /centre/intent/wall/:id</t>
        </is>
      </c>
      <c r="E10" s="2" t="inlineStr">
        <is>
          <t>Copies the join link and sends it to people</t>
        </is>
      </c>
      <c r="F10" s="2" t="inlineStr">
        <is>
          <t>Join link, seats taken or free, revoke a seat</t>
        </is>
      </c>
      <c r="G10" s="6" t="inlineStr">
        <is>
          <t>To build</t>
        </is>
      </c>
      <c r="H10" s="2" t="inlineStr">
        <is>
          <t>Invite panel on the wall: link, seats, revoke (the routes exist)</t>
        </is>
      </c>
      <c r="I10" s="2" t="inlineStr">
        <is>
          <t>W1-A</t>
        </is>
      </c>
      <c r="J10" s="2" t="n">
        <v>25</v>
      </c>
      <c r="K10" s="2" t="inlineStr">
        <is>
          <t>Screen only: routes for link, seats and revoke already exist; copy from the old room screen</t>
        </is>
      </c>
      <c r="L10" s="2" t="inlineStr">
        <is>
          <t>Builder: 2 to 4 tests for this step only. Me: click through once as this person.</t>
        </is>
      </c>
      <c r="M10" s="2" t="inlineStr"/>
      <c r="N10" s="2" t="inlineStr"/>
    </row>
    <row r="11">
      <c r="A11" s="2" t="inlineStr">
        <is>
          <t>D3</t>
        </is>
      </c>
      <c r="B11" s="2" t="inlineStr">
        <is>
          <t>Room 1: the wall</t>
        </is>
      </c>
      <c r="C11" s="2" t="inlineStr">
        <is>
          <t>Participant (no account)</t>
        </is>
      </c>
      <c r="D11" s="2" t="inlineStr">
        <is>
          <t>Join by link  /join/:code</t>
        </is>
      </c>
      <c r="E11" s="2" t="inlineStr">
        <is>
          <t>Opens the link, types name and role, takes a seat</t>
        </is>
      </c>
      <c r="F11" s="2" t="inlineStr">
        <is>
          <t>Lands in their private room</t>
        </is>
      </c>
      <c r="G11" s="5" t="inlineStr">
        <is>
          <t>Works, old screen only</t>
        </is>
      </c>
      <c r="H11" s="2" t="inlineStr">
        <is>
          <t>Re-skin the join page and the guest private room</t>
        </is>
      </c>
      <c r="I11" s="2" t="inlineStr">
        <is>
          <t>W1-D</t>
        </is>
      </c>
      <c r="J11" s="2" t="n">
        <v>25</v>
      </c>
      <c r="K11" s="2" t="inlineStr">
        <is>
          <t>Look-only change, but two screens (join and the guest room)</t>
        </is>
      </c>
      <c r="L11" s="2" t="inlineStr">
        <is>
          <t>Builder: 2 to 4 tests for this step only. Me: click through once as this person.</t>
        </is>
      </c>
      <c r="M11" s="2" t="inlineStr"/>
      <c r="N11" s="2" t="inlineStr"/>
    </row>
    <row r="12">
      <c r="A12" s="2" t="inlineStr">
        <is>
          <t>D4</t>
        </is>
      </c>
      <c r="B12" s="2" t="inlineStr">
        <is>
          <t>Room 1: the wall</t>
        </is>
      </c>
      <c r="C12" s="2" t="inlineStr">
        <is>
          <t>Organiser</t>
        </is>
      </c>
      <c r="D12" s="2" t="inlineStr">
        <is>
          <t>The wall</t>
        </is>
      </c>
      <c r="E12" s="2" t="inlineStr">
        <is>
          <t>Moves the session on: briefing, open the private rooms, close them, bring everyone to the wall</t>
        </is>
      </c>
      <c r="F12" s="2" t="inlineStr">
        <is>
          <t>A stage bar with the next step and a confirm</t>
        </is>
      </c>
      <c r="G12" s="6" t="inlineStr">
        <is>
          <t>To build</t>
        </is>
      </c>
      <c r="H12" s="2" t="inlineStr">
        <is>
          <t>Organiser stage bar on the wall (the stage routes exist)</t>
        </is>
      </c>
      <c r="I12" s="2" t="inlineStr">
        <is>
          <t>W1-A</t>
        </is>
      </c>
      <c r="J12" s="2" t="n">
        <v>30</v>
      </c>
      <c r="K12" s="2" t="inlineStr">
        <is>
          <t>Screen only: calls existing routes; each step needs a confirm and a plain message</t>
        </is>
      </c>
      <c r="L12" s="2" t="inlineStr">
        <is>
          <t>Builder: 2 to 4 tests for this step only. Me: click through once as this person.</t>
        </is>
      </c>
      <c r="M12" s="2" t="inlineStr"/>
      <c r="N12" s="2" t="inlineStr"/>
    </row>
    <row r="13">
      <c r="A13" s="2" t="inlineStr">
        <is>
          <t>D5</t>
        </is>
      </c>
      <c r="B13" s="2" t="inlineStr">
        <is>
          <t>Room 1: the wall</t>
        </is>
      </c>
      <c r="C13" s="2" t="inlineStr">
        <is>
          <t>Each participant</t>
        </is>
      </c>
      <c r="D13" s="2" t="inlineStr">
        <is>
          <t>North panel on the wall</t>
        </is>
      </c>
      <c r="E13" s="2" t="inlineStr">
        <is>
          <t>Answers North's four questions; writes cards; marks anonymous or sealed</t>
        </is>
      </c>
      <c r="F13" s="2" t="inlineStr">
        <is>
          <t>Cards appear in four lanes</t>
        </is>
      </c>
      <c r="G13" s="3" t="inlineStr">
        <is>
          <t>Works in the new look</t>
        </is>
      </c>
      <c r="H13" s="2" t="inlineStr">
        <is>
          <t>None (guests covered by D3)</t>
        </is>
      </c>
      <c r="I13" s="2" t="inlineStr">
        <is>
          <t>-</t>
        </is>
      </c>
      <c r="J13" s="2" t="n">
        <v>0</v>
      </c>
      <c r="K13" s="2" t="inlineStr">
        <is>
          <t>Built (IC-2a to IC-2h, IC-2p)</t>
        </is>
      </c>
      <c r="L13" s="2" t="inlineStr">
        <is>
          <t>-</t>
        </is>
      </c>
      <c r="M13" s="2" t="inlineStr"/>
      <c r="N13" s="2" t="inlineStr"/>
    </row>
    <row r="14">
      <c r="A14" s="2" t="inlineStr">
        <is>
          <t>D6</t>
        </is>
      </c>
      <c r="B14" s="2" t="inlineStr">
        <is>
          <t>Room 1: the wall</t>
        </is>
      </c>
      <c r="C14" s="2" t="inlineStr">
        <is>
          <t>Organiser</t>
        </is>
      </c>
      <c r="D14" s="2" t="inlineStr">
        <is>
          <t>The wall: projector view</t>
        </is>
      </c>
      <c r="E14" s="2" t="inlineStr">
        <is>
          <t>Shows the wall on a big screen</t>
        </is>
      </c>
      <c r="F14" s="2" t="inlineStr">
        <is>
          <t>Lanes and counts, no names</t>
        </is>
      </c>
      <c r="G14" s="3" t="inlineStr">
        <is>
          <t>Works in the new look</t>
        </is>
      </c>
      <c r="H14" s="2" t="inlineStr">
        <is>
          <t>None</t>
        </is>
      </c>
      <c r="I14" s="2" t="inlineStr">
        <is>
          <t>-</t>
        </is>
      </c>
      <c r="J14" s="2" t="n">
        <v>0</v>
      </c>
      <c r="K14" s="2" t="inlineStr">
        <is>
          <t>Built (IC-2b)</t>
        </is>
      </c>
      <c r="L14" s="2" t="inlineStr">
        <is>
          <t>-</t>
        </is>
      </c>
      <c r="M14" s="2" t="inlineStr"/>
      <c r="N14" s="2" t="inlineStr"/>
    </row>
    <row r="15">
      <c r="A15" s="2" t="inlineStr">
        <is>
          <t>D7</t>
        </is>
      </c>
      <c r="B15" s="2" t="inlineStr">
        <is>
          <t>Room 1: the wall</t>
        </is>
      </c>
      <c r="C15" s="2" t="inlineStr">
        <is>
          <t>Organiser or the clock</t>
        </is>
      </c>
      <c r="D15" s="2" t="inlineStr">
        <is>
          <t>The wall</t>
        </is>
      </c>
      <c r="E15" s="2" t="inlineStr">
        <is>
          <t>The wall closes after the chosen days, or the organiser closes it</t>
        </is>
      </c>
      <c r="F15" s="2" t="inlineStr">
        <is>
          <t>Wall frozen; North groups cards into clusters; Define unlocks</t>
        </is>
      </c>
      <c r="G15" s="3" t="inlineStr">
        <is>
          <t>Works in the new look</t>
        </is>
      </c>
      <c r="H15" s="2" t="inlineStr">
        <is>
          <t>Manual close comes with D4</t>
        </is>
      </c>
      <c r="I15" s="2" t="inlineStr">
        <is>
          <t>W1-A</t>
        </is>
      </c>
      <c r="J15" s="2" t="n">
        <v>0</v>
      </c>
      <c r="K15" s="2" t="inlineStr">
        <is>
          <t>Counted in D4</t>
        </is>
      </c>
      <c r="L15" s="2" t="inlineStr">
        <is>
          <t>-</t>
        </is>
      </c>
      <c r="M15" s="2" t="inlineStr"/>
      <c r="N15" s="2" t="inlineStr"/>
    </row>
    <row r="16">
      <c r="A16" s="2" t="inlineStr">
        <is>
          <t>E1</t>
        </is>
      </c>
      <c r="B16" s="2" t="inlineStr">
        <is>
          <t>Room 2: Define</t>
        </is>
      </c>
      <c r="C16" s="2" t="inlineStr">
        <is>
          <t>Organiser</t>
        </is>
      </c>
      <c r="D16" s="2" t="inlineStr">
        <is>
          <t>Define  /centre/intent/define/:id</t>
        </is>
      </c>
      <c r="E16" s="2" t="inlineStr">
        <is>
          <t>Drags clusters onto Must, Should, Good to have, Future</t>
        </is>
      </c>
      <c r="F16" s="2" t="inlineStr">
        <is>
          <t>Shelves with counts and votes</t>
        </is>
      </c>
      <c r="G16" s="3" t="inlineStr">
        <is>
          <t>Works in the new look</t>
        </is>
      </c>
      <c r="H16" s="2" t="inlineStr">
        <is>
          <t>None</t>
        </is>
      </c>
      <c r="I16" s="2" t="inlineStr">
        <is>
          <t>-</t>
        </is>
      </c>
      <c r="J16" s="2" t="n">
        <v>0</v>
      </c>
      <c r="K16" s="2" t="inlineStr">
        <is>
          <t>Built (IC-3a, IC-3b, IC-3s)</t>
        </is>
      </c>
      <c r="L16" s="2" t="inlineStr">
        <is>
          <t>-</t>
        </is>
      </c>
      <c r="M16" s="2" t="inlineStr"/>
      <c r="N16" s="2" t="inlineStr"/>
    </row>
    <row r="17">
      <c r="A17" s="2" t="inlineStr">
        <is>
          <t>E2</t>
        </is>
      </c>
      <c r="B17" s="2" t="inlineStr">
        <is>
          <t>Room 2: Define</t>
        </is>
      </c>
      <c r="C17" s="2" t="inlineStr">
        <is>
          <t>Organiser</t>
        </is>
      </c>
      <c r="D17" s="2" t="inlineStr">
        <is>
          <t>Define: Lens panel</t>
        </is>
      </c>
      <c r="E17" s="2" t="inlineStr">
        <is>
          <t>Reads each measure's definition; confirms it or sends it back with a note</t>
        </is>
      </c>
      <c r="F17" s="2" t="inlineStr">
        <is>
          <t>Definition with its source; governed ring</t>
        </is>
      </c>
      <c r="G17" s="3" t="inlineStr">
        <is>
          <t>Works in the new look</t>
        </is>
      </c>
      <c r="H17" s="2" t="inlineStr">
        <is>
          <t>None</t>
        </is>
      </c>
      <c r="I17" s="2" t="inlineStr">
        <is>
          <t>-</t>
        </is>
      </c>
      <c r="J17" s="2" t="n">
        <v>0</v>
      </c>
      <c r="K17" s="2" t="inlineStr">
        <is>
          <t>Built (IC-3e)</t>
        </is>
      </c>
      <c r="L17" s="2" t="inlineStr">
        <is>
          <t>-</t>
        </is>
      </c>
      <c r="M17" s="2" t="inlineStr"/>
      <c r="N17" s="2" t="inlineStr"/>
    </row>
    <row r="18">
      <c r="A18" s="2" t="inlineStr">
        <is>
          <t>E3</t>
        </is>
      </c>
      <c r="B18" s="2" t="inlineStr">
        <is>
          <t>Room 2: Define</t>
        </is>
      </c>
      <c r="C18" s="2" t="inlineStr">
        <is>
          <t>Sponsor</t>
        </is>
      </c>
      <c r="D18" s="2" t="inlineStr">
        <is>
          <t>Charter (old screen under /modules/m1_intent)</t>
        </is>
      </c>
      <c r="E18" s="2" t="inlineStr">
        <is>
          <t>Reads the charter (what we want to know, why, which measures) and signs</t>
        </is>
      </c>
      <c r="F18" s="2" t="inlineStr">
        <is>
          <t>Signed charter; download</t>
        </is>
      </c>
      <c r="G18" s="5" t="inlineStr">
        <is>
          <t>Works, old screen only</t>
        </is>
      </c>
      <c r="H18" s="2" t="inlineStr">
        <is>
          <t>Charter screen in the new look, reached from Define</t>
        </is>
      </c>
      <c r="I18" s="2" t="inlineStr">
        <is>
          <t>W1-B</t>
        </is>
      </c>
      <c r="J18" s="2" t="n">
        <v>30</v>
      </c>
      <c r="K18" s="2" t="inlineStr">
        <is>
          <t>Copy the old charter screen; re-skin; one link from Define and from home</t>
        </is>
      </c>
      <c r="L18" s="2" t="inlineStr">
        <is>
          <t>Builder: 2 to 4 tests for this step only. Me: click through once as this person.</t>
        </is>
      </c>
      <c r="M18" s="2" t="inlineStr"/>
      <c r="N18" s="2" t="inlineStr"/>
    </row>
    <row r="19">
      <c r="A19" s="2" t="inlineStr">
        <is>
          <t>E4</t>
        </is>
      </c>
      <c r="B19" s="2" t="inlineStr">
        <is>
          <t>Room 2: Define</t>
        </is>
      </c>
      <c r="C19" s="2" t="inlineStr">
        <is>
          <t>Analyst or data owner</t>
        </is>
      </c>
      <c r="D19" s="2" t="inlineStr">
        <is>
          <t>Baseline catalogue (old screens under /modules/m2_baseline)</t>
        </is>
      </c>
      <c r="E19" s="2" t="inlineStr">
        <is>
          <t>Completes each Must and Should measure: business meaning, calculation, source, period</t>
        </is>
      </c>
      <c r="F19" s="2" t="inlineStr">
        <is>
          <t>Catalogue with the gaps shown</t>
        </is>
      </c>
      <c r="G19" s="5" t="inlineStr">
        <is>
          <t>Works, old screen only</t>
        </is>
      </c>
      <c r="H19" s="2" t="inlineStr">
        <is>
          <t>Baseline screen in the new look: list of measures, status, open one to edit</t>
        </is>
      </c>
      <c r="I19" s="2" t="inlineStr">
        <is>
          <t>W1-C</t>
        </is>
      </c>
      <c r="J19" s="2" t="n">
        <v>45</v>
      </c>
      <c r="K19" s="2" t="inlineStr">
        <is>
          <t>Biggest gap: five old screens (catalogue, glossary, governance, requests, sign-off) folded into one; copy their forms</t>
        </is>
      </c>
      <c r="L19" s="2" t="inlineStr">
        <is>
          <t>Builder: 2 to 4 tests for this step only. Me: click through once as this person.</t>
        </is>
      </c>
      <c r="M19" s="2" t="inlineStr"/>
      <c r="N19" s="2" t="inlineStr"/>
    </row>
    <row r="20">
      <c r="A20" s="2" t="inlineStr">
        <is>
          <t>E5</t>
        </is>
      </c>
      <c r="B20" s="2" t="inlineStr">
        <is>
          <t>Room 2: Define</t>
        </is>
      </c>
      <c r="C20" s="2" t="inlineStr">
        <is>
          <t>Data owner (no account)</t>
        </is>
      </c>
      <c r="D20" s="2" t="inlineStr">
        <is>
          <t>Owner question by link  /answer/:token</t>
        </is>
      </c>
      <c r="E20" s="2" t="inlineStr">
        <is>
          <t>Answers a question about their measure</t>
        </is>
      </c>
      <c r="F20" s="2" t="inlineStr">
        <is>
          <t>The answer goes back to the catalogue</t>
        </is>
      </c>
      <c r="G20" s="3" t="inlineStr">
        <is>
          <t>Works in the new look</t>
        </is>
      </c>
      <c r="H20" s="2" t="inlineStr">
        <is>
          <t>None</t>
        </is>
      </c>
      <c r="I20" s="2" t="inlineStr">
        <is>
          <t>-</t>
        </is>
      </c>
      <c r="J20" s="2" t="n">
        <v>0</v>
      </c>
      <c r="K20" s="2" t="inlineStr">
        <is>
          <t>Built tonight (IC-M3G)</t>
        </is>
      </c>
      <c r="L20" s="2" t="inlineStr">
        <is>
          <t>-</t>
        </is>
      </c>
      <c r="M20" s="2" t="inlineStr"/>
      <c r="N20" s="2" t="inlineStr"/>
    </row>
    <row r="21">
      <c r="A21" s="2" t="inlineStr">
        <is>
          <t>E6</t>
        </is>
      </c>
      <c r="B21" s="2" t="inlineStr">
        <is>
          <t>Room 2: Define</t>
        </is>
      </c>
      <c r="C21" s="2" t="inlineStr">
        <is>
          <t>Sponsor</t>
        </is>
      </c>
      <c r="D21" s="2" t="inlineStr">
        <is>
          <t>Baseline sign-off (old screen)</t>
        </is>
      </c>
      <c r="E21" s="2" t="inlineStr">
        <is>
          <t>Signs the baseline when every Must measure is governed</t>
        </is>
      </c>
      <c r="F21" s="2" t="inlineStr">
        <is>
          <t>Signed baseline; room 3 unlocks</t>
        </is>
      </c>
      <c r="G21" s="5" t="inlineStr">
        <is>
          <t>Works, old screen only</t>
        </is>
      </c>
      <c r="H21" s="2" t="inlineStr">
        <is>
          <t>Sign-off panel on the new Baseline screen</t>
        </is>
      </c>
      <c r="I21" s="2" t="inlineStr">
        <is>
          <t>W1-C</t>
        </is>
      </c>
      <c r="J21" s="2" t="n">
        <v>15</v>
      </c>
      <c r="K21" s="2" t="inlineStr">
        <is>
          <t>Copy the old sign-off panel into the new screen</t>
        </is>
      </c>
      <c r="L21" s="2" t="inlineStr">
        <is>
          <t>Builder: 2 to 4 tests for this step only. Me: click through once as this person.</t>
        </is>
      </c>
      <c r="M21" s="2" t="inlineStr"/>
      <c r="N21" s="2" t="inlineStr"/>
    </row>
    <row r="22">
      <c r="A22" s="2" t="inlineStr">
        <is>
          <t>F1</t>
        </is>
      </c>
      <c r="B22" s="2" t="inlineStr">
        <is>
          <t>Room 3: Moment of truth</t>
        </is>
      </c>
      <c r="C22" s="2" t="inlineStr">
        <is>
          <t>Company admin</t>
        </is>
      </c>
      <c r="D22" s="2" t="inlineStr">
        <is>
          <t>Home: Start the moment of truth</t>
        </is>
      </c>
      <c r="E22" s="2" t="inlineStr">
        <is>
          <t>Starts the trial</t>
        </is>
      </c>
      <c r="F22" s="2" t="inlineStr">
        <is>
          <t>The Truth screen opens</t>
        </is>
      </c>
      <c r="G22" s="3" t="inlineStr">
        <is>
          <t>Works in the new look</t>
        </is>
      </c>
      <c r="H22" s="2" t="inlineStr">
        <is>
          <t>None</t>
        </is>
      </c>
      <c r="I22" s="2" t="inlineStr">
        <is>
          <t>-</t>
        </is>
      </c>
      <c r="J22" s="2" t="n">
        <v>0</v>
      </c>
      <c r="K22" s="2" t="inlineStr">
        <is>
          <t>Built (IC-4b)</t>
        </is>
      </c>
      <c r="L22" s="2" t="inlineStr">
        <is>
          <t>-</t>
        </is>
      </c>
      <c r="M22" s="2" t="inlineStr"/>
      <c r="N22" s="2" t="inlineStr"/>
    </row>
    <row r="23">
      <c r="A23" s="2" t="inlineStr">
        <is>
          <t>F2</t>
        </is>
      </c>
      <c r="B23" s="2" t="inlineStr">
        <is>
          <t>Room 3: Moment of truth</t>
        </is>
      </c>
      <c r="C23" s="2" t="inlineStr">
        <is>
          <t>Company admin</t>
        </is>
      </c>
      <c r="D23" s="2" t="inlineStr">
        <is>
          <t>Data request  /centre/intent/truth/:id/request</t>
        </is>
      </c>
      <c r="E23" s="2" t="inlineStr">
        <is>
          <t>Asks each source owner for a sample file by link</t>
        </is>
      </c>
      <c r="F23" s="2" t="inlineStr">
        <is>
          <t>Sources as cards: asked, received, profiled</t>
        </is>
      </c>
      <c r="G23" s="3" t="inlineStr">
        <is>
          <t>Works in the new look</t>
        </is>
      </c>
      <c r="H23" s="2" t="inlineStr">
        <is>
          <t>None</t>
        </is>
      </c>
      <c r="I23" s="2" t="inlineStr">
        <is>
          <t>-</t>
        </is>
      </c>
      <c r="J23" s="2" t="n">
        <v>0</v>
      </c>
      <c r="K23" s="2" t="inlineStr">
        <is>
          <t>Built (IC-M3U)</t>
        </is>
      </c>
      <c r="L23" s="2" t="inlineStr">
        <is>
          <t>-</t>
        </is>
      </c>
      <c r="M23" s="2" t="inlineStr"/>
      <c r="N23" s="2" t="inlineStr"/>
    </row>
    <row r="24">
      <c r="A24" s="2" t="inlineStr">
        <is>
          <t>F3</t>
        </is>
      </c>
      <c r="B24" s="2" t="inlineStr">
        <is>
          <t>Room 3: Moment of truth</t>
        </is>
      </c>
      <c r="C24" s="2" t="inlineStr">
        <is>
          <t>Source owner (no account)</t>
        </is>
      </c>
      <c r="D24" s="2" t="inlineStr">
        <is>
          <t>Upload by link  /intake/:token</t>
        </is>
      </c>
      <c r="E24" s="2" t="inlineStr">
        <is>
          <t>Uploads the sample file</t>
        </is>
      </c>
      <c r="F24" s="2" t="inlineStr">
        <is>
          <t>Received; nothing else of the company is shown</t>
        </is>
      </c>
      <c r="G24" s="3" t="inlineStr">
        <is>
          <t>Works in the new look</t>
        </is>
      </c>
      <c r="H24" s="2" t="inlineStr">
        <is>
          <t>None</t>
        </is>
      </c>
      <c r="I24" s="2" t="inlineStr">
        <is>
          <t>-</t>
        </is>
      </c>
      <c r="J24" s="2" t="n">
        <v>0</v>
      </c>
      <c r="K24" s="2" t="inlineStr">
        <is>
          <t>Built tonight (IC-M3G)</t>
        </is>
      </c>
      <c r="L24" s="2" t="inlineStr">
        <is>
          <t>-</t>
        </is>
      </c>
      <c r="M24" s="2" t="inlineStr"/>
      <c r="N24" s="2" t="inlineStr"/>
    </row>
    <row r="25">
      <c r="A25" s="2" t="inlineStr">
        <is>
          <t>F4</t>
        </is>
      </c>
      <c r="B25" s="2" t="inlineStr">
        <is>
          <t>Room 3: Moment of truth</t>
        </is>
      </c>
      <c r="C25" s="2" t="inlineStr">
        <is>
          <t>Company admin, sponsor</t>
        </is>
      </c>
      <c r="D25" s="2" t="inlineStr">
        <is>
          <t>Truth screen</t>
        </is>
      </c>
      <c r="E25" s="2" t="inlineStr">
        <is>
          <t>Reads the trial: computed versus reported figure per measure; quality rules</t>
        </is>
      </c>
      <c r="F25" s="2" t="inlineStr">
        <is>
          <t>MATCH, GAP or NOT YET; fixes in amber</t>
        </is>
      </c>
      <c r="G25" s="3" t="inlineStr">
        <is>
          <t>Works in the new look</t>
        </is>
      </c>
      <c r="H25" s="2" t="inlineStr">
        <is>
          <t>None</t>
        </is>
      </c>
      <c r="I25" s="2" t="inlineStr">
        <is>
          <t>-</t>
        </is>
      </c>
      <c r="J25" s="2" t="n">
        <v>0</v>
      </c>
      <c r="K25" s="2" t="inlineStr">
        <is>
          <t>Built (IC-4a, IC-0d)</t>
        </is>
      </c>
      <c r="L25" s="2" t="inlineStr">
        <is>
          <t>-</t>
        </is>
      </c>
      <c r="M25" s="2" t="inlineStr"/>
      <c r="N25" s="2" t="inlineStr"/>
    </row>
    <row r="26">
      <c r="A26" s="2" t="inlineStr">
        <is>
          <t>F5</t>
        </is>
      </c>
      <c r="B26" s="2" t="inlineStr">
        <is>
          <t>Room 3: Moment of truth</t>
        </is>
      </c>
      <c r="C26" s="2" t="inlineStr">
        <is>
          <t>Sponsor</t>
        </is>
      </c>
      <c r="D26" s="2" t="inlineStr">
        <is>
          <t>Truth screen: plan</t>
        </is>
      </c>
      <c r="E26" s="2" t="inlineStr">
        <is>
          <t>Reads the plan in three bands and signs it</t>
        </is>
      </c>
      <c r="F26" s="2" t="inlineStr">
        <is>
          <t>Signed plan; the Build centre can start</t>
        </is>
      </c>
      <c r="G26" s="3" t="inlineStr">
        <is>
          <t>Works in the new look</t>
        </is>
      </c>
      <c r="H26" s="2" t="inlineStr">
        <is>
          <t>None</t>
        </is>
      </c>
      <c r="I26" s="2" t="inlineStr">
        <is>
          <t>-</t>
        </is>
      </c>
      <c r="J26" s="2" t="n">
        <v>0</v>
      </c>
      <c r="K26" s="2" t="inlineStr">
        <is>
          <t>Built (IC-4b)</t>
        </is>
      </c>
      <c r="L26" s="2" t="inlineStr">
        <is>
          <t>-</t>
        </is>
      </c>
      <c r="M26" s="2" t="inlineStr"/>
      <c r="N26" s="2" t="inlineStr"/>
    </row>
    <row r="27">
      <c r="A27" s="2" t="inlineStr">
        <is>
          <t>F6</t>
        </is>
      </c>
      <c r="B27" s="2" t="inlineStr">
        <is>
          <t>Intent: results</t>
        </is>
      </c>
      <c r="C27" s="2" t="inlineStr">
        <is>
          <t>Sponsor</t>
        </is>
      </c>
      <c r="D27" s="2" t="inlineStr">
        <is>
          <t>Outcomes  /centre/intent/outcomes</t>
        </is>
      </c>
      <c r="E27" s="2" t="inlineStr">
        <is>
          <t>Sees progress numbers</t>
        </is>
      </c>
      <c r="F27" s="2" t="inlineStr">
        <is>
          <t>Sessions, cards, measures governed, trials matched</t>
        </is>
      </c>
      <c r="G27" s="3" t="inlineStr">
        <is>
          <t>Works in the new look</t>
        </is>
      </c>
      <c r="H27" s="2" t="inlineStr">
        <is>
          <t>None</t>
        </is>
      </c>
      <c r="I27" s="2" t="inlineStr">
        <is>
          <t>-</t>
        </is>
      </c>
      <c r="J27" s="2" t="n">
        <v>0</v>
      </c>
      <c r="K27" s="2" t="inlineStr">
        <is>
          <t>Built (IC-6a)</t>
        </is>
      </c>
      <c r="L27" s="2" t="inlineStr">
        <is>
          <t>-</t>
        </is>
      </c>
      <c r="M27" s="2" t="inlineStr"/>
      <c r="N27" s="2" t="inlineStr"/>
    </row>
    <row r="28">
      <c r="A28" s="2" t="inlineStr">
        <is>
          <t>F7</t>
        </is>
      </c>
      <c r="B28" s="2" t="inlineStr">
        <is>
          <t>Intent: results</t>
        </is>
      </c>
      <c r="C28" s="2" t="inlineStr">
        <is>
          <t>Sponsor</t>
        </is>
      </c>
      <c r="D28" s="2" t="inlineStr">
        <is>
          <t>Company graph  /centre/intent/graph</t>
        </is>
      </c>
      <c r="E28" s="2" t="inlineStr">
        <is>
          <t>Sees who owns which measure and which measures have no source</t>
        </is>
      </c>
      <c r="F28" s="2" t="inlineStr">
        <is>
          <t>Map, trace per measure, holes</t>
        </is>
      </c>
      <c r="G28" s="7" t="inlineStr">
        <is>
          <t>Built, not committed</t>
        </is>
      </c>
      <c r="H28" s="2" t="inlineStr">
        <is>
          <t>Commit it (step 0)</t>
        </is>
      </c>
      <c r="I28" s="2" t="inlineStr">
        <is>
          <t>Step 0</t>
        </is>
      </c>
      <c r="J28" s="2" t="n">
        <v>10</v>
      </c>
      <c r="K28" s="2" t="inlineStr">
        <is>
          <t>Code done and leak fixed; one test file to fix</t>
        </is>
      </c>
      <c r="L28" s="2" t="inlineStr">
        <is>
          <t>Builder: 2 to 4 tests for this step only. Me: click through once as this person.</t>
        </is>
      </c>
      <c r="M28" s="2" t="inlineStr"/>
      <c r="N28" s="2" t="inlineStr"/>
    </row>
    <row r="29">
      <c r="A29" s="2" t="inlineStr">
        <is>
          <t>G1</t>
        </is>
      </c>
      <c r="B29" s="2" t="inlineStr">
        <is>
          <t>Build: start</t>
        </is>
      </c>
      <c r="C29" s="2" t="inlineStr">
        <is>
          <t>Company admin</t>
        </is>
      </c>
      <c r="D29" s="2" t="inlineStr">
        <is>
          <t>Build home  /centre/build</t>
        </is>
      </c>
      <c r="E29" s="2" t="inlineStr">
        <is>
          <t>Opens the Build centre</t>
        </is>
      </c>
      <c r="F29" s="2" t="inlineStr">
        <is>
          <t>Three rooms; room 1 lit</t>
        </is>
      </c>
      <c r="G29" s="3" t="inlineStr">
        <is>
          <t>Works in the new look</t>
        </is>
      </c>
      <c r="H29" s="2" t="inlineStr">
        <is>
          <t>None</t>
        </is>
      </c>
      <c r="I29" s="2" t="inlineStr">
        <is>
          <t>-</t>
        </is>
      </c>
      <c r="J29" s="2" t="n">
        <v>0</v>
      </c>
      <c r="K29" s="2" t="inlineStr">
        <is>
          <t>Built (BC-1)</t>
        </is>
      </c>
      <c r="L29" s="2" t="inlineStr">
        <is>
          <t>-</t>
        </is>
      </c>
      <c r="M29" s="2" t="inlineStr"/>
      <c r="N29" s="2" t="inlineStr"/>
    </row>
    <row r="30">
      <c r="A30" s="2" t="inlineStr">
        <is>
          <t>G2</t>
        </is>
      </c>
      <c r="B30" s="2" t="inlineStr">
        <is>
          <t>Build room 1: Architect</t>
        </is>
      </c>
      <c r="C30" s="2" t="inlineStr">
        <is>
          <t>Company admin (head of data)</t>
        </is>
      </c>
      <c r="D30" s="2" t="inlineStr">
        <is>
          <t>Environment  /centre/build/environment</t>
        </is>
      </c>
      <c r="E30" s="2" t="inlineStr">
        <is>
          <t>Confirms five answers: where the warehouse lives, existing warehouse, scheduler, where files arrive, where alerts go</t>
        </is>
      </c>
      <c r="F30" s="2" t="inlineStr">
        <is>
          <t>Each answer with its source; Confirm</t>
        </is>
      </c>
      <c r="G30" s="3" t="inlineStr">
        <is>
          <t>Works in the new look</t>
        </is>
      </c>
      <c r="H30" s="2" t="inlineStr">
        <is>
          <t>None</t>
        </is>
      </c>
      <c r="I30" s="2" t="inlineStr">
        <is>
          <t>-</t>
        </is>
      </c>
      <c r="J30" s="2" t="n">
        <v>0</v>
      </c>
      <c r="K30" s="2" t="inlineStr">
        <is>
          <t>Built (BC-1)</t>
        </is>
      </c>
      <c r="L30" s="2" t="inlineStr">
        <is>
          <t>-</t>
        </is>
      </c>
      <c r="M30" s="2" t="inlineStr"/>
      <c r="N30" s="2" t="inlineStr"/>
    </row>
    <row r="31">
      <c r="A31" s="2" t="inlineStr">
        <is>
          <t>G3</t>
        </is>
      </c>
      <c r="B31" s="2" t="inlineStr">
        <is>
          <t>Build room 1: Architect</t>
        </is>
      </c>
      <c r="C31" s="2" t="inlineStr">
        <is>
          <t>Company admin (head of data)</t>
        </is>
      </c>
      <c r="D31" s="2" t="inlineStr">
        <is>
          <t>Blueprint  /centre/build/blueprint</t>
        </is>
      </c>
      <c r="E31" s="2" t="inlineStr">
        <is>
          <t>Reads the drafted data model: tables, keys, each measure's lineage, rules, who may see, schedule; signs</t>
        </is>
      </c>
      <c r="F31" s="2" t="inlineStr">
        <is>
          <t>Blueprint with a source for every line; Sign</t>
        </is>
      </c>
      <c r="G31" s="6" t="inlineStr">
        <is>
          <t>To build</t>
        </is>
      </c>
      <c r="H31" s="2" t="inlineStr">
        <is>
          <t>Architect drafts blueprint.json from the signed catalogue and plan; screen; sign</t>
        </is>
      </c>
      <c r="I31" s="2" t="inlineStr">
        <is>
          <t>W2-A</t>
        </is>
      </c>
      <c r="J31" s="2" t="n">
        <v>60</v>
      </c>
      <c r="K31" s="2" t="inlineStr">
        <is>
          <t>New logic: map catalogue measures to facts and dimensions; copy model drafting from the earlier repo</t>
        </is>
      </c>
      <c r="L31" s="2" t="inlineStr">
        <is>
          <t>Builder: 2 to 4 tests for this step only. Me: click through once as this person.</t>
        </is>
      </c>
      <c r="M31" s="2" t="inlineStr"/>
      <c r="N31" s="2" t="inlineStr"/>
    </row>
    <row r="32">
      <c r="A32" s="2" t="inlineStr">
        <is>
          <t>G4</t>
        </is>
      </c>
      <c r="B32" s="2" t="inlineStr">
        <is>
          <t>Build room 2: Build</t>
        </is>
      </c>
      <c r="C32" s="2" t="inlineStr">
        <is>
          <t>Company admin</t>
        </is>
      </c>
      <c r="D32" s="2" t="inlineStr">
        <is>
          <t>Pipelines  /centre/build/pipelines</t>
        </is>
      </c>
      <c r="E32" s="2" t="inlineStr">
        <is>
          <t>Reads one card per source: where files land, when expected, which checks run</t>
        </is>
      </c>
      <c r="F32" s="2" t="inlineStr">
        <is>
          <t>One pipeline per source, from the blueprint</t>
        </is>
      </c>
      <c r="G32" s="6" t="inlineStr">
        <is>
          <t>To build</t>
        </is>
      </c>
      <c r="H32" s="2" t="inlineStr">
        <is>
          <t>Pipeline contract per source generated from the blueprint; list screen</t>
        </is>
      </c>
      <c r="I32" s="2" t="inlineStr">
        <is>
          <t>W2-B</t>
        </is>
      </c>
      <c r="J32" s="2" t="n">
        <v>40</v>
      </c>
      <c r="K32" s="2" t="inlineStr">
        <is>
          <t>New: the contract file and its screen; inputs come from G3</t>
        </is>
      </c>
      <c r="L32" s="2" t="inlineStr">
        <is>
          <t>Builder: 2 to 4 tests for this step only. Me: click through once as this person.</t>
        </is>
      </c>
      <c r="M32" s="2" t="inlineStr"/>
      <c r="N32" s="2" t="inlineStr"/>
    </row>
    <row r="33">
      <c r="A33" s="2" t="inlineStr">
        <is>
          <t>G5</t>
        </is>
      </c>
      <c r="B33" s="2" t="inlineStr">
        <is>
          <t>Build room 2: Build</t>
        </is>
      </c>
      <c r="C33" s="2" t="inlineStr">
        <is>
          <t>Company admin</t>
        </is>
      </c>
      <c r="D33" s="2" t="inlineStr">
        <is>
          <t>Pipelines: Run now</t>
        </is>
      </c>
      <c r="E33" s="2" t="inlineStr">
        <is>
          <t>Clicks Run now on a source</t>
        </is>
      </c>
      <c r="F33" s="2" t="inlineStr">
        <is>
          <t>Run log: rows loaded, checks passed or failed, time taken</t>
        </is>
      </c>
      <c r="G33" s="6" t="inlineStr">
        <is>
          <t>To build</t>
        </is>
      </c>
      <c r="H33" s="2" t="inlineStr">
        <is>
          <t>Runner: bronze (exists), silver, gold marts; run log; Run now button</t>
        </is>
      </c>
      <c r="I33" s="2" t="inlineStr">
        <is>
          <t>W2-B</t>
        </is>
      </c>
      <c r="J33" s="2" t="n">
        <v>60</v>
      </c>
      <c r="K33" s="2" t="inlineStr">
        <is>
          <t>Copy the silver and gold transforms from the earlier repo; the DuckDB warehouse exists (BC-4)</t>
        </is>
      </c>
      <c r="L33" s="2" t="inlineStr">
        <is>
          <t>Builder: 2 to 4 tests for this step only. Me: click through once as this person.</t>
        </is>
      </c>
      <c r="M33" s="2" t="inlineStr"/>
      <c r="N33" s="2" t="inlineStr"/>
    </row>
    <row r="34">
      <c r="A34" s="2" t="inlineStr">
        <is>
          <t>G6</t>
        </is>
      </c>
      <c r="B34" s="2" t="inlineStr">
        <is>
          <t>Build room 2: Build</t>
        </is>
      </c>
      <c r="C34" s="2" t="inlineStr">
        <is>
          <t>Company admin, owners</t>
        </is>
      </c>
      <c r="D34" s="2" t="inlineStr">
        <is>
          <t>Prove  /centre/build/prove</t>
        </is>
      </c>
      <c r="E34" s="2" t="inlineStr">
        <is>
          <t>Reads each measure recomputed from the warehouse versus the reported figure</t>
        </is>
      </c>
      <c r="F34" s="2" t="inlineStr">
        <is>
          <t>Match, or gap with a reason, per period</t>
        </is>
      </c>
      <c r="G34" s="6" t="inlineStr">
        <is>
          <t>To build</t>
        </is>
      </c>
      <c r="H34" s="2" t="inlineStr">
        <is>
          <t>Prover: recompute per measure; evidence per measure</t>
        </is>
      </c>
      <c r="I34" s="2" t="inlineStr">
        <is>
          <t>W3-A</t>
        </is>
      </c>
      <c r="J34" s="2" t="n">
        <v>45</v>
      </c>
      <c r="K34" s="2" t="inlineStr">
        <is>
          <t>Reuses the trial comparison from room 3, on loaded data</t>
        </is>
      </c>
      <c r="L34" s="2" t="inlineStr">
        <is>
          <t>Builder: 2 to 4 tests for this step only. Me: click through once as this person.</t>
        </is>
      </c>
      <c r="M34" s="2" t="inlineStr"/>
      <c r="N34" s="2" t="inlineStr"/>
    </row>
    <row r="35">
      <c r="A35" s="2" t="inlineStr">
        <is>
          <t>G7</t>
        </is>
      </c>
      <c r="B35" s="2" t="inlineStr">
        <is>
          <t>Build room 2: Build</t>
        </is>
      </c>
      <c r="C35" s="2" t="inlineStr">
        <is>
          <t>Sponsor</t>
        </is>
      </c>
      <c r="D35" s="2" t="inlineStr">
        <is>
          <t>Prove: Release</t>
        </is>
      </c>
      <c r="E35" s="2" t="inlineStr">
        <is>
          <t>Signs the release when every measure matches or has an accepted gap</t>
        </is>
      </c>
      <c r="F35" s="2" t="inlineStr">
        <is>
          <t>Release signed; data marked live</t>
        </is>
      </c>
      <c r="G35" s="6" t="inlineStr">
        <is>
          <t>To build</t>
        </is>
      </c>
      <c r="H35" s="2" t="inlineStr">
        <is>
          <t>Release panel and sign-off</t>
        </is>
      </c>
      <c r="I35" s="2" t="inlineStr">
        <is>
          <t>W3-A</t>
        </is>
      </c>
      <c r="J35" s="2" t="n">
        <v>20</v>
      </c>
      <c r="K35" s="2" t="inlineStr">
        <is>
          <t>Copy the release sign-off from the earlier repo</t>
        </is>
      </c>
      <c r="L35" s="2" t="inlineStr">
        <is>
          <t>Builder: 2 to 4 tests for this step only. Me: click through once as this person.</t>
        </is>
      </c>
      <c r="M35" s="2" t="inlineStr"/>
      <c r="N35" s="2" t="inlineStr"/>
    </row>
    <row r="36">
      <c r="A36" s="2" t="inlineStr">
        <is>
          <t>G8</t>
        </is>
      </c>
      <c r="B36" s="2" t="inlineStr">
        <is>
          <t>Build room 3: Ops</t>
        </is>
      </c>
      <c r="C36" s="2" t="inlineStr">
        <is>
          <t>Company admin, owners</t>
        </is>
      </c>
      <c r="D36" s="2" t="inlineStr">
        <is>
          <t>Ops  /centre/build/ops</t>
        </is>
      </c>
      <c r="E36" s="2" t="inlineStr">
        <is>
          <t>Checks today's loads: on time, late, failed, who must act</t>
        </is>
      </c>
      <c r="F36" s="2" t="inlineStr">
        <is>
          <t>One list per day</t>
        </is>
      </c>
      <c r="G36" s="6" t="inlineStr">
        <is>
          <t>To build</t>
        </is>
      </c>
      <c r="H36" s="2" t="inlineStr">
        <is>
          <t>Ops screen over the run log</t>
        </is>
      </c>
      <c r="I36" s="2" t="inlineStr">
        <is>
          <t>W3-B</t>
        </is>
      </c>
      <c r="J36" s="2" t="n">
        <v>30</v>
      </c>
      <c r="K36" s="2" t="inlineStr">
        <is>
          <t>Screen over the run log written by G5</t>
        </is>
      </c>
      <c r="L36" s="2" t="inlineStr">
        <is>
          <t>Builder: 2 to 4 tests for this step only. Me: click through once as this person.</t>
        </is>
      </c>
      <c r="M36" s="2" t="inlineStr"/>
      <c r="N36" s="2" t="inlineStr"/>
    </row>
    <row r="37">
      <c r="A37" s="2" t="inlineStr">
        <is>
          <t>H1</t>
        </is>
      </c>
      <c r="B37" s="2" t="inlineStr">
        <is>
          <t>Consume: start</t>
        </is>
      </c>
      <c r="C37" s="2" t="inlineStr">
        <is>
          <t>Sponsor, owners</t>
        </is>
      </c>
      <c r="D37" s="2" t="inlineStr">
        <is>
          <t>Consume home  /centre/consume</t>
        </is>
      </c>
      <c r="E37" s="2" t="inlineStr">
        <is>
          <t>Opens the Consume centre</t>
        </is>
      </c>
      <c r="F37" s="2" t="inlineStr">
        <is>
          <t>Three rooms: Feeds, Market forces, What-if</t>
        </is>
      </c>
      <c r="G37" s="6" t="inlineStr">
        <is>
          <t>To build</t>
        </is>
      </c>
      <c r="H37" s="2" t="inlineStr">
        <is>
          <t>Home page and top-bar link</t>
        </is>
      </c>
      <c r="I37" s="2" t="inlineStr">
        <is>
          <t>W2-C</t>
        </is>
      </c>
      <c r="J37" s="2" t="n">
        <v>15</v>
      </c>
      <c r="K37" s="2" t="inlineStr">
        <is>
          <t>Copy of the Build home</t>
        </is>
      </c>
      <c r="L37" s="2" t="inlineStr">
        <is>
          <t>Builder: 2 to 4 tests for this step only. Me: click through once as this person.</t>
        </is>
      </c>
      <c r="M37" s="2" t="inlineStr"/>
      <c r="N37" s="2" t="inlineStr"/>
    </row>
    <row r="38">
      <c r="A38" s="2" t="inlineStr">
        <is>
          <t>H2</t>
        </is>
      </c>
      <c r="B38" s="2" t="inlineStr">
        <is>
          <t>Consume: Feeds</t>
        </is>
      </c>
      <c r="C38" s="2" t="inlineStr">
        <is>
          <t>Sponsor, owners</t>
        </is>
      </c>
      <c r="D38" s="2" t="inlineStr">
        <is>
          <t>Feeds  /centre/consume/feeds</t>
        </is>
      </c>
      <c r="E38" s="2" t="inlineStr">
        <is>
          <t>Reads each governed measure: latest value, trend, owner</t>
        </is>
      </c>
      <c r="F38" s="2" t="inlineStr">
        <is>
          <t>Measure cards; restricted ones only for the people listed</t>
        </is>
      </c>
      <c r="G38" s="6" t="inlineStr">
        <is>
          <t>To build</t>
        </is>
      </c>
      <c r="H38" s="2" t="inlineStr">
        <is>
          <t>Feeds screen reading the gold marts</t>
        </is>
      </c>
      <c r="I38" s="2" t="inlineStr">
        <is>
          <t>W2-C</t>
        </is>
      </c>
      <c r="J38" s="2" t="n">
        <v>45</v>
      </c>
      <c r="K38" s="2" t="inlineStr">
        <is>
          <t>New screen; needs gold marts from G5 (demo marts seeded first so it does not wait)</t>
        </is>
      </c>
      <c r="L38" s="2" t="inlineStr">
        <is>
          <t>Builder: 2 to 4 tests for this step only. Me: click through once as this person.</t>
        </is>
      </c>
      <c r="M38" s="2" t="inlineStr"/>
      <c r="N38" s="2" t="inlineStr"/>
    </row>
    <row r="39">
      <c r="A39" s="2" t="inlineStr">
        <is>
          <t>H3</t>
        </is>
      </c>
      <c r="B39" s="2" t="inlineStr">
        <is>
          <t>Consume: Market forces</t>
        </is>
      </c>
      <c r="C39" s="2" t="inlineStr">
        <is>
          <t>Sponsor</t>
        </is>
      </c>
      <c r="D39" s="2" t="inlineStr">
        <is>
          <t>Market forces  /centre/consume/market</t>
        </is>
      </c>
      <c r="E39" s="2" t="inlineStr">
        <is>
          <t>Reads industry briefs and signals next to the company's own measures</t>
        </is>
      </c>
      <c r="F39" s="2" t="inlineStr">
        <is>
          <t>Briefs from the family office pack, labelled as outside material</t>
        </is>
      </c>
      <c r="G39" s="6" t="inlineStr">
        <is>
          <t>To build</t>
        </is>
      </c>
      <c r="H39" s="2" t="inlineStr">
        <is>
          <t>Screen over the pack's market briefs and signals</t>
        </is>
      </c>
      <c r="I39" s="2" t="inlineStr">
        <is>
          <t>W2-D</t>
        </is>
      </c>
      <c r="J39" s="2" t="n">
        <v>35</v>
      </c>
      <c r="K39" s="2" t="inlineStr">
        <is>
          <t>Copy from the earlier repo; the pack content already exists</t>
        </is>
      </c>
      <c r="L39" s="2" t="inlineStr">
        <is>
          <t>Builder: 2 to 4 tests for this step only. Me: click through once as this person.</t>
        </is>
      </c>
      <c r="M39" s="2" t="inlineStr"/>
      <c r="N39" s="2" t="inlineStr"/>
    </row>
    <row r="40">
      <c r="A40" s="2" t="inlineStr">
        <is>
          <t>H4</t>
        </is>
      </c>
      <c r="B40" s="2" t="inlineStr">
        <is>
          <t>Consume: What-if</t>
        </is>
      </c>
      <c r="C40" s="2" t="inlineStr">
        <is>
          <t>Sponsor</t>
        </is>
      </c>
      <c r="D40" s="2" t="inlineStr">
        <is>
          <t>What-if  /centre/consume/what-if</t>
        </is>
      </c>
      <c r="E40" s="2" t="inlineStr">
        <is>
          <t>Changes one driver by a percentage</t>
        </is>
      </c>
      <c r="F40" s="2" t="inlineStr">
        <is>
          <t>Which measures move and by how much, with the path</t>
        </is>
      </c>
      <c r="G40" s="6" t="inlineStr">
        <is>
          <t>To build</t>
        </is>
      </c>
      <c r="H40" s="2" t="inlineStr">
        <is>
          <t>Driver list from the graph; simple recalculation</t>
        </is>
      </c>
      <c r="I40" s="2" t="inlineStr">
        <is>
          <t>W3-C</t>
        </is>
      </c>
      <c r="J40" s="2" t="n">
        <v>60</v>
      </c>
      <c r="K40" s="2" t="inlineStr">
        <is>
          <t>New logic; one driver at a time</t>
        </is>
      </c>
      <c r="L40" s="2" t="inlineStr">
        <is>
          <t>Builder: 2 to 4 tests for this step only. Me: click through once as this person.</t>
        </is>
      </c>
      <c r="M40" s="2" t="inlineStr"/>
      <c r="N40" s="2" t="inlineStr"/>
    </row>
    <row r="41">
      <c r="A41" s="2" t="inlineStr">
        <is>
          <t>Z1</t>
        </is>
      </c>
      <c r="B41" s="2" t="inlineStr">
        <is>
          <t>Check</t>
        </is>
      </c>
      <c r="C41" s="2" t="inlineStr">
        <is>
          <t>Me</t>
        </is>
      </c>
      <c r="D41" s="2" t="inlineStr">
        <is>
          <t>Whole journey</t>
        </is>
      </c>
      <c r="E41" s="2" t="inlineStr">
        <is>
          <t>Runs A1 to H4 on the demo company as each person</t>
        </is>
      </c>
      <c r="F41" s="2" t="inlineStr">
        <is>
          <t>A list of what broke</t>
        </is>
      </c>
      <c r="G41" s="6" t="inlineStr">
        <is>
          <t>To do</t>
        </is>
      </c>
      <c r="H41" s="2" t="inlineStr">
        <is>
          <t>One click-through per wave; the full run after wave 3</t>
        </is>
      </c>
      <c r="I41" s="2" t="inlineStr">
        <is>
          <t>W4</t>
        </is>
      </c>
      <c r="J41" s="2" t="n">
        <v>120</v>
      </c>
      <c r="K41" s="2" t="inlineStr">
        <is>
          <t>Click-through by hand, not automated suites</t>
        </is>
      </c>
      <c r="L41" s="2" t="inlineStr">
        <is>
          <t>Builder: 2 to 4 tests for this step only. Me: click through once as this person.</t>
        </is>
      </c>
      <c r="M41" s="2" t="inlineStr"/>
      <c r="N41" s="2" t="inlineStr"/>
    </row>
  </sheetData>
  <autoFilter ref="A1:N41"/>
  <dataValidations count="1">
    <dataValidation sqref="M2:M41" showDropDown="0" showInputMessage="0" showErrorMessage="0" allowBlank="1" type="list">
      <formula1>"Accept,Reject,Change"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6" customWidth="1" min="3" max="3"/>
    <col width="8" customWidth="1" min="4" max="4"/>
    <col width="18" customWidth="1" min="5" max="5"/>
    <col width="40" customWidth="1" min="6" max="6"/>
    <col width="12" customWidth="1" min="7" max="7"/>
  </cols>
  <sheetData>
    <row r="1">
      <c r="A1" s="1" t="inlineStr">
        <is>
          <t>Package</t>
        </is>
      </c>
      <c r="B1" s="1" t="inlineStr">
        <is>
          <t>What</t>
        </is>
      </c>
      <c r="C1" s="1" t="inlineStr">
        <is>
          <t>Journey steps</t>
        </is>
      </c>
      <c r="D1" s="1" t="inlineStr">
        <is>
          <t>Agents</t>
        </is>
      </c>
      <c r="E1" s="1" t="inlineStr">
        <is>
          <t>Minutes (build, land, click-through)</t>
        </is>
      </c>
      <c r="F1" s="1" t="inlineStr">
        <is>
          <t>Note</t>
        </is>
      </c>
      <c r="G1" s="1" t="inlineStr">
        <is>
          <t>Your decision</t>
        </is>
      </c>
    </row>
    <row r="2">
      <c r="A2" s="2" t="inlineStr">
        <is>
          <t>Step 0</t>
        </is>
      </c>
      <c r="B2" s="2" t="inlineStr">
        <is>
          <t>Commit the company graph</t>
        </is>
      </c>
      <c r="C2" s="2" t="inlineStr">
        <is>
          <t>F7</t>
        </is>
      </c>
      <c r="D2" s="2" t="n">
        <v>0</v>
      </c>
      <c r="E2" s="2" t="n">
        <v>10</v>
      </c>
      <c r="F2" s="2" t="inlineStr">
        <is>
          <t>Me</t>
        </is>
      </c>
      <c r="G2" s="2" t="inlineStr"/>
    </row>
    <row r="3">
      <c r="A3" s="2" t="inlineStr">
        <is>
          <t>W1-A</t>
        </is>
      </c>
      <c r="B3" s="2" t="inlineStr">
        <is>
          <t>Wall: invite panel and organiser stage bar</t>
        </is>
      </c>
      <c r="C3" s="2" t="inlineStr">
        <is>
          <t>D2, D4, D7</t>
        </is>
      </c>
      <c r="D3" s="2" t="n">
        <v>1</v>
      </c>
      <c r="E3" s="2" t="n">
        <v>55</v>
      </c>
      <c r="F3" s="2" t="inlineStr">
        <is>
          <t>Screen only, over existing routes</t>
        </is>
      </c>
      <c r="G3" s="2" t="inlineStr"/>
    </row>
    <row r="4">
      <c r="A4" s="2" t="inlineStr">
        <is>
          <t>W1-B</t>
        </is>
      </c>
      <c r="B4" s="2" t="inlineStr">
        <is>
          <t>Charter in the new look</t>
        </is>
      </c>
      <c r="C4" s="2" t="inlineStr">
        <is>
          <t>E3</t>
        </is>
      </c>
      <c r="D4" s="2" t="n">
        <v>1</v>
      </c>
      <c r="E4" s="2" t="n">
        <v>30</v>
      </c>
      <c r="F4" s="2" t="inlineStr">
        <is>
          <t>Copy and re-skin</t>
        </is>
      </c>
      <c r="G4" s="2" t="inlineStr"/>
    </row>
    <row r="5">
      <c r="A5" s="2" t="inlineStr">
        <is>
          <t>W1-C</t>
        </is>
      </c>
      <c r="B5" s="2" t="inlineStr">
        <is>
          <t>Baseline in the new look (catalogue and sign-off)</t>
        </is>
      </c>
      <c r="C5" s="2" t="inlineStr">
        <is>
          <t>E4, E6</t>
        </is>
      </c>
      <c r="D5" s="2" t="n">
        <v>1</v>
      </c>
      <c r="E5" s="2" t="n">
        <v>60</v>
      </c>
      <c r="F5" s="2" t="inlineStr">
        <is>
          <t>Largest Intent gap</t>
        </is>
      </c>
      <c r="G5" s="2" t="inlineStr"/>
    </row>
    <row r="6">
      <c r="A6" s="2" t="inlineStr">
        <is>
          <t>W1-D</t>
        </is>
      </c>
      <c r="B6" s="2" t="inlineStr">
        <is>
          <t>Link pages and interviews in the new look</t>
        </is>
      </c>
      <c r="C6" s="2" t="inlineStr">
        <is>
          <t>C3, C4, D3</t>
        </is>
      </c>
      <c r="D6" s="2" t="n">
        <v>1</v>
      </c>
      <c r="E6" s="2" t="n">
        <v>50</v>
      </c>
      <c r="F6" s="2" t="inlineStr">
        <is>
          <t>Look-only</t>
        </is>
      </c>
      <c r="G6" s="2" t="inlineStr"/>
    </row>
    <row r="7">
      <c r="A7" s="2" t="inlineStr">
        <is>
          <t>W2-A</t>
        </is>
      </c>
      <c r="B7" s="2" t="inlineStr">
        <is>
          <t>Blueprint</t>
        </is>
      </c>
      <c r="C7" s="2" t="inlineStr">
        <is>
          <t>G3</t>
        </is>
      </c>
      <c r="D7" s="2" t="n">
        <v>1</v>
      </c>
      <c r="E7" s="2" t="n">
        <v>60</v>
      </c>
      <c r="F7" s="2" t="inlineStr">
        <is>
          <t>New logic plus a screen</t>
        </is>
      </c>
      <c r="G7" s="2" t="inlineStr"/>
    </row>
    <row r="8">
      <c r="A8" s="2" t="inlineStr">
        <is>
          <t>W2-B</t>
        </is>
      </c>
      <c r="B8" s="2" t="inlineStr">
        <is>
          <t>Pipelines and Run now</t>
        </is>
      </c>
      <c r="C8" s="2" t="inlineStr">
        <is>
          <t>G4, G5</t>
        </is>
      </c>
      <c r="D8" s="2" t="n">
        <v>1</v>
      </c>
      <c r="E8" s="2" t="n">
        <v>100</v>
      </c>
      <c r="F8" s="2" t="inlineStr">
        <is>
          <t>New runner; copies the earlier transforms</t>
        </is>
      </c>
      <c r="G8" s="2" t="inlineStr"/>
    </row>
    <row r="9">
      <c r="A9" s="2" t="inlineStr">
        <is>
          <t>W2-C</t>
        </is>
      </c>
      <c r="B9" s="2" t="inlineStr">
        <is>
          <t>Consume home and Feeds</t>
        </is>
      </c>
      <c r="C9" s="2" t="inlineStr">
        <is>
          <t>H1, H2</t>
        </is>
      </c>
      <c r="D9" s="2" t="n">
        <v>1</v>
      </c>
      <c r="E9" s="2" t="n">
        <v>60</v>
      </c>
      <c r="F9" s="2" t="inlineStr">
        <is>
          <t>Uses seeded demo gold marts</t>
        </is>
      </c>
      <c r="G9" s="2" t="inlineStr"/>
    </row>
    <row r="10">
      <c r="A10" s="2" t="inlineStr">
        <is>
          <t>W2-D</t>
        </is>
      </c>
      <c r="B10" s="2" t="inlineStr">
        <is>
          <t>Market forces</t>
        </is>
      </c>
      <c r="C10" s="2" t="inlineStr">
        <is>
          <t>H3</t>
        </is>
      </c>
      <c r="D10" s="2" t="n">
        <v>1</v>
      </c>
      <c r="E10" s="2" t="n">
        <v>35</v>
      </c>
      <c r="F10" s="2" t="inlineStr">
        <is>
          <t>Copy</t>
        </is>
      </c>
      <c r="G10" s="2" t="inlineStr"/>
    </row>
    <row r="11">
      <c r="A11" s="2" t="inlineStr">
        <is>
          <t>W3-A</t>
        </is>
      </c>
      <c r="B11" s="2" t="inlineStr">
        <is>
          <t>Prove and release</t>
        </is>
      </c>
      <c r="C11" s="2" t="inlineStr">
        <is>
          <t>G6, G7</t>
        </is>
      </c>
      <c r="D11" s="2" t="n">
        <v>1</v>
      </c>
      <c r="E11" s="2" t="n">
        <v>65</v>
      </c>
      <c r="F11" s="2" t="inlineStr">
        <is>
          <t>Needs G5</t>
        </is>
      </c>
      <c r="G11" s="2" t="inlineStr"/>
    </row>
    <row r="12">
      <c r="A12" s="2" t="inlineStr">
        <is>
          <t>W3-B</t>
        </is>
      </c>
      <c r="B12" s="2" t="inlineStr">
        <is>
          <t>Ops</t>
        </is>
      </c>
      <c r="C12" s="2" t="inlineStr">
        <is>
          <t>G8</t>
        </is>
      </c>
      <c r="D12" s="2" t="n">
        <v>1</v>
      </c>
      <c r="E12" s="2" t="n">
        <v>30</v>
      </c>
      <c r="F12" s="2" t="inlineStr">
        <is>
          <t>Needs G5</t>
        </is>
      </c>
      <c r="G12" s="2" t="inlineStr"/>
    </row>
    <row r="13">
      <c r="A13" s="2" t="inlineStr">
        <is>
          <t>W3-C</t>
        </is>
      </c>
      <c r="B13" s="2" t="inlineStr">
        <is>
          <t>What-if</t>
        </is>
      </c>
      <c r="C13" s="2" t="inlineStr">
        <is>
          <t>H4</t>
        </is>
      </c>
      <c r="D13" s="2" t="n">
        <v>1</v>
      </c>
      <c r="E13" s="2" t="n">
        <v>60</v>
      </c>
      <c r="F13" s="2" t="inlineStr">
        <is>
          <t>Needs the graph and the marts</t>
        </is>
      </c>
      <c r="G13" s="2" t="inlineStr"/>
    </row>
    <row r="14">
      <c r="A14" s="2" t="inlineStr">
        <is>
          <t>W4</t>
        </is>
      </c>
      <c r="B14" s="2" t="inlineStr">
        <is>
          <t>Whole journey click-through and fixes</t>
        </is>
      </c>
      <c r="C14" s="2" t="inlineStr">
        <is>
          <t>Z1</t>
        </is>
      </c>
      <c r="D14" s="2" t="n">
        <v>0</v>
      </c>
      <c r="E14" s="2" t="n">
        <v>120</v>
      </c>
      <c r="F14" s="2" t="inlineStr">
        <is>
          <t>Me, plus one fixer agent if needed</t>
        </is>
      </c>
      <c r="G14" s="2" t="inlineStr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Wave 1 (4 agents at once)</t>
        </is>
      </c>
      <c r="B16" s="2" t="inlineStr"/>
      <c r="C16" s="2" t="inlineStr"/>
      <c r="D16" s="2">
        <f>SUM(D3:D6)</f>
        <v/>
      </c>
      <c r="E16" s="2">
        <f>MAX(E3:E6)</f>
        <v/>
      </c>
      <c r="F16" s="2" t="inlineStr">
        <is>
          <t>Parallel: the longest package sets the time</t>
        </is>
      </c>
      <c r="G16" s="2" t="n"/>
    </row>
    <row r="17">
      <c r="A17" s="2" t="inlineStr">
        <is>
          <t>Wave 2 (4 agents at once)</t>
        </is>
      </c>
      <c r="B17" s="2" t="inlineStr"/>
      <c r="C17" s="2" t="inlineStr"/>
      <c r="D17" s="2">
        <f>SUM(D7:D10)</f>
        <v/>
      </c>
      <c r="E17" s="2">
        <f>MAX(E7:E10)</f>
        <v/>
      </c>
      <c r="F17" s="2" t="inlineStr"/>
      <c r="G17" s="2" t="n"/>
    </row>
    <row r="18">
      <c r="A18" s="2" t="inlineStr">
        <is>
          <t>Wave 3 (3 agents at once)</t>
        </is>
      </c>
      <c r="B18" s="2" t="inlineStr"/>
      <c r="C18" s="2" t="inlineStr"/>
      <c r="D18" s="2">
        <f>SUM(D11:D13)</f>
        <v/>
      </c>
      <c r="E18" s="2">
        <f>MAX(E11:E13)</f>
        <v/>
      </c>
      <c r="F18" s="2" t="inlineStr"/>
      <c r="G18" s="2" t="n"/>
    </row>
    <row r="19">
      <c r="A19" s="2" t="inlineStr">
        <is>
          <t>Step 0 and wave 4</t>
        </is>
      </c>
      <c r="B19" s="2" t="inlineStr"/>
      <c r="C19" s="2" t="inlineStr"/>
      <c r="D19" s="2" t="inlineStr"/>
      <c r="E19" s="2">
        <f>E2+E14</f>
        <v/>
      </c>
      <c r="F19" s="2" t="inlineStr"/>
      <c r="G19" s="2" t="n"/>
    </row>
    <row r="20">
      <c r="A20" s="2" t="inlineStr">
        <is>
          <t>Total minutes to MVP</t>
        </is>
      </c>
      <c r="B20" s="2" t="inlineStr"/>
      <c r="C20" s="2" t="inlineStr"/>
      <c r="D20" s="2" t="inlineStr"/>
      <c r="E20" s="2">
        <f>SUM(E16:E19)</f>
        <v/>
      </c>
      <c r="F20" s="2" t="inlineStr"/>
      <c r="G20" s="2" t="n"/>
    </row>
  </sheetData>
  <dataValidations count="1">
    <dataValidation sqref="G2:G14" showDropDown="0" showInputMessage="0" showErrorMessage="0" allowBlank="1" type="list">
      <formula1>"Accept,Reject,Change"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Why later</t>
        </is>
      </c>
    </row>
    <row r="2">
      <c r="A2" s="2" t="inlineStr">
        <is>
          <t>Full automated test suite (about 3,500 tests)</t>
        </is>
      </c>
      <c r="B2" s="2" t="inlineStr">
        <is>
          <t>Runs after the MVP works end to end</t>
        </is>
      </c>
    </row>
    <row r="3">
      <c r="A3" s="2" t="inlineStr">
        <is>
          <t>Security review</t>
        </is>
      </c>
      <c r="B3" s="2" t="inlineStr">
        <is>
          <t>After the MVP, before any real client</t>
        </is>
      </c>
    </row>
    <row r="4">
      <c r="A4" s="2" t="inlineStr">
        <is>
          <t>Invite people by email</t>
        </is>
      </c>
      <c r="B4" s="2" t="inlineStr">
        <is>
          <t>Seeded accounts are enough for the demo</t>
        </is>
      </c>
    </row>
    <row r="5">
      <c r="A5" s="2" t="inlineStr">
        <is>
          <t>Scan an existing warehouse</t>
        </is>
      </c>
      <c r="B5" s="2" t="inlineStr">
        <is>
          <t>The demo company has none</t>
        </is>
      </c>
    </row>
    <row r="6">
      <c r="A6" s="2" t="inlineStr">
        <is>
          <t>Airflow</t>
        </is>
      </c>
      <c r="B6" s="2" t="inlineStr">
        <is>
          <t>The built-in runner is enough</t>
        </is>
      </c>
    </row>
    <row r="7">
      <c r="A7" s="2" t="inlineStr">
        <is>
          <t>Slack and Teams messages</t>
        </is>
      </c>
      <c r="B7" s="2" t="inlineStr">
        <is>
          <t>The Ops screen is enough for the demo</t>
        </is>
      </c>
    </row>
    <row r="8">
      <c r="A8" s="2" t="inlineStr">
        <is>
          <t>Define across several walls</t>
        </is>
      </c>
      <c r="B8" s="2" t="inlineStr">
        <is>
          <t>One wall per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2026-10-06T12:33:12Z</dcterms:created>
  <dcterms:modified xsi:type="dcterms:W3CDTF">2026-10-06T13:58:43Z</dcterms:modified>
</cp:coreProperties>
</file>