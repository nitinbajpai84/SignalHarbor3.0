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 Sources" sheetId="2" state="visible" r:id="rId2"/>
    <sheet xmlns:r="http://schemas.openxmlformats.org/officeDocument/2006/relationships" name="2 Tables" sheetId="3" state="visible" r:id="rId3"/>
    <sheet xmlns:r="http://schemas.openxmlformats.org/officeDocument/2006/relationships" name="3 Fields" sheetId="4" state="visible" r:id="rId4"/>
    <sheet xmlns:r="http://schemas.openxmlformats.org/officeDocument/2006/relationships" name="4 Extractions" sheetId="5" state="visible" r:id="rId5"/>
    <sheet xmlns:r="http://schemas.openxmlformats.org/officeDocument/2006/relationships" name="5 KPIs" sheetId="6" state="visible" r:id="rId6"/>
    <sheet xmlns:r="http://schemas.openxmlformats.org/officeDocument/2006/relationships" name="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52A52"/>
      <sz val="18"/>
    </font>
    <font>
      <b val="1"/>
      <color rgb="00052A52"/>
    </font>
    <font>
      <b val="1"/>
    </font>
    <font>
      <b val="1"/>
      <color rgb="00052A52"/>
      <sz val="16"/>
    </font>
    <font>
      <color rgb="006A7179"/>
    </font>
    <font>
      <b val="1"/>
      <color rgb="00FFFFFF"/>
    </font>
    <font>
      <i val="1"/>
      <color rgb="006A7179"/>
      <sz val="9"/>
    </font>
    <font>
      <i val="1"/>
      <color rgb="006A7179"/>
    </font>
  </fonts>
  <fills count="4">
    <fill>
      <patternFill/>
    </fill>
    <fill>
      <patternFill patternType="gray125"/>
    </fill>
    <fill>
      <patternFill patternType="solid">
        <fgColor rgb="00052A52"/>
      </patternFill>
    </fill>
    <fill>
      <patternFill patternType="solid">
        <fgColor rgb="00EEF1F4"/>
      </patternFill>
    </fill>
  </fills>
  <borders count="2">
    <border>
      <left/>
      <right/>
      <top/>
      <bottom/>
      <diagonal/>
    </border>
    <border>
      <left style="thin">
        <color rgb="00D5DBE1"/>
      </left>
      <right style="thin">
        <color rgb="00D5DBE1"/>
      </right>
      <top style="thin">
        <color rgb="00D5DBE1"/>
      </top>
      <bottom style="thin">
        <color rgb="00D5DB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applyAlignment="1" pivotButton="0" quotePrefix="0" xfId="0">
      <alignment vertical="bottom" wrapText="1"/>
    </xf>
    <xf numFmtId="0" fontId="6" fillId="2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FEDEF"/>
          <bgColor rgb="00CFEDEF"/>
        </patternFill>
      </fill>
    </dxf>
    <dxf>
      <fill>
        <patternFill patternType="solid">
          <fgColor rgb="00F6E7D8"/>
          <bgColor rgb="00F6E7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52A52"/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Signal Harbor: data catalogue template</t>
        </is>
      </c>
    </row>
    <row r="3">
      <c r="A3" s="2" t="inlineStr">
        <is>
          <t>What this is</t>
        </is>
      </c>
      <c r="B3" s="3" t="inlineStr">
        <is>
          <t>The output of module 2 (Baseline). It describes where the data for each KPI comes from, so module 3 can check what exists against what the KPIs need.</t>
        </is>
      </c>
    </row>
    <row r="4">
      <c r="A4" s="2" t="inlineStr">
        <is>
          <t>What it is not</t>
        </is>
      </c>
      <c r="B4" s="3" t="inlineStr">
        <is>
          <t>It holds descriptions only. Never put client data, personal data, passwords or keys in this file.</t>
        </is>
      </c>
    </row>
    <row r="5">
      <c r="A5" s="2" t="inlineStr">
        <is>
          <t>Order of work</t>
        </is>
      </c>
      <c r="B5" s="3" t="inlineStr">
        <is>
          <t>Start from the signed charter. Fill tab 5 (KPIs) first, then tab 1 (Sources), then tab 2 (Tables), then tab 3 (Fields) or tab 4 (Extractions).</t>
        </is>
      </c>
    </row>
    <row r="6">
      <c r="A6" s="2" t="inlineStr">
        <is>
          <t>Tab 1 Sources</t>
        </is>
      </c>
      <c r="B6" s="3" t="inlineStr">
        <is>
          <t>Where data comes from: database, file drop, email, document store, manual workbook. Includes how we would connect, who owns it, and when it arrives.</t>
        </is>
      </c>
    </row>
    <row r="7">
      <c r="A7" s="2" t="inlineStr">
        <is>
          <t>Tab 2 Tables</t>
        </is>
      </c>
      <c r="B7" s="3" t="inlineStr">
        <is>
          <t>The tables, files or document types each source provides (one source can have many), the KPIs each relates to, arrival time, SLA, cut-offs and connection detail.</t>
        </is>
      </c>
    </row>
    <row r="8">
      <c r="A8" s="2" t="inlineStr">
        <is>
          <t>Tab 3 Fields</t>
        </is>
      </c>
      <c r="B8" s="3" t="inlineStr">
        <is>
          <t>The fields to track inside each table, which KPI each feeds, and any time bound or exception.</t>
        </is>
      </c>
    </row>
    <row r="9">
      <c r="A9" s="2" t="inlineStr">
        <is>
          <t>Tab 4 Extractions</t>
        </is>
      </c>
      <c r="B9" s="3" t="inlineStr">
        <is>
          <t>For documents: the key things to read out of each document type, with the same time bounds and exceptions.</t>
        </is>
      </c>
    </row>
    <row r="10">
      <c r="A10" s="2" t="inlineStr">
        <is>
          <t>Tab 5 KPIs</t>
        </is>
      </c>
      <c r="B10" s="3" t="inlineStr">
        <is>
          <t>Owners, tracking status, signatures, how many tables, fields and extractions are mapped to the KPI, and whether it is ready for module 3.</t>
        </is>
      </c>
    </row>
    <row r="11">
      <c r="A11" s="2" t="inlineStr">
        <is>
          <t>The mapping</t>
        </is>
      </c>
      <c r="B11" s="3" t="inlineStr">
        <is>
          <t>Source &gt; table &gt; field, and each table and field points to the KPI it serves. Tab 5 counts them, so a KPI with nothing mapped is visible straight away.</t>
        </is>
      </c>
    </row>
    <row r="12">
      <c r="A12" s="2" t="inlineStr">
        <is>
          <t>How sure are we</t>
        </is>
      </c>
      <c r="B12" s="3" t="inlineStr">
        <is>
          <t>Every row says: Stated by a named person, Guessed, or Unknown. A guess is fine. A blank that looks complete is not.</t>
        </is>
      </c>
    </row>
    <row r="13">
      <c r="A13" s="2" t="inlineStr">
        <is>
          <t>Not tracked today</t>
        </is>
      </c>
      <c r="B13" s="3" t="inlineStr">
        <is>
          <t>If a KPI cannot be tracked now, set its tracking status, give a tentative date if there is one, name the next step or project, and have a sponsor accept it as unknown for now.</t>
        </is>
      </c>
    </row>
    <row r="14">
      <c r="A14" s="2" t="inlineStr">
        <is>
          <t>Example rows</t>
        </is>
      </c>
      <c r="B14" s="3" t="inlineStr">
        <is>
          <t>Rows 5 and 6 on each tab are invented examples in grey italics. Delete them before you start.</t>
        </is>
      </c>
    </row>
    <row r="15">
      <c r="A15" s="2" t="inlineStr">
        <is>
          <t>Dropdowns</t>
        </is>
      </c>
      <c r="B15" s="3" t="inlineStr">
        <is>
          <t>Cells with a small arrow offer a list. You can type another value; you will get a warning, not a block.</t>
        </is>
      </c>
    </row>
    <row r="16">
      <c r="A16" s="2" t="inlineStr">
        <is>
          <t>Complete? and Ready?</t>
        </is>
      </c>
      <c r="B16" s="3" t="inlineStr">
        <is>
          <t>These columns fill themselves in. They only count the required columns.</t>
        </is>
      </c>
    </row>
    <row r="18">
      <c r="A18" s="4" t="inlineStr">
        <is>
          <t>Version</t>
        </is>
      </c>
      <c r="B18" t="inlineStr">
        <is>
          <t>Template v1, 3 October 2026. Draft for discussion; the columns may change after review.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9AA7"/>
    <outlinePr summaryBelow="1" summaryRight="1"/>
    <pageSetUpPr/>
  </sheetPr>
  <dimension ref="A1:U2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6" customWidth="1" min="2" max="2"/>
    <col width="26" customWidth="1" min="3" max="3"/>
    <col width="18" customWidth="1" min="4" max="4"/>
    <col width="30" customWidth="1" min="5" max="5"/>
    <col width="18" customWidth="1" min="6" max="6"/>
    <col width="26" customWidth="1" min="7" max="7"/>
    <col width="34" customWidth="1" min="8" max="8"/>
    <col width="26" customWidth="1" min="9" max="9"/>
    <col width="16" customWidth="1" min="10" max="10"/>
    <col width="24" customWidth="1" min="11" max="11"/>
    <col width="14" customWidth="1" min="12" max="12"/>
    <col width="28" customWidth="1" min="13" max="13"/>
    <col width="22" customWidth="1" min="14" max="14"/>
    <col width="20" customWidth="1" min="15" max="15"/>
    <col width="34" customWidth="1" min="16" max="16"/>
    <col width="24" customWidth="1" min="17" max="17"/>
    <col width="16" customWidth="1" min="18" max="18"/>
    <col width="14" customWidth="1" min="19" max="19"/>
    <col width="18" customWidth="1" min="20" max="20"/>
    <col width="36" customWidth="1" min="21" max="21"/>
  </cols>
  <sheetData>
    <row r="1">
      <c r="A1" s="5" t="inlineStr">
        <is>
          <t>1 Sources: where the data comes from</t>
        </is>
      </c>
    </row>
    <row r="2">
      <c r="A2" s="6" t="inlineStr">
        <is>
          <t>One row per source: a database, a file drop, an email, a document store, a manual workbook. Write descriptions only. Never type a password or a key here.</t>
        </is>
      </c>
    </row>
    <row r="3" ht="36" customHeight="1">
      <c r="A3" s="7" t="inlineStr">
        <is>
          <t>S01, S02 ...</t>
        </is>
      </c>
      <c r="B3" s="7" t="inlineStr">
        <is>
          <t>What people call it</t>
        </is>
      </c>
      <c r="C3" s="7" t="inlineStr">
        <is>
          <t>Pick one</t>
        </is>
      </c>
      <c r="D3" s="7" t="inlineStr">
        <is>
          <t>Pick one</t>
        </is>
      </c>
      <c r="E3" s="7" t="inlineStr">
        <is>
          <t>Folder, mailbox, server, portal</t>
        </is>
      </c>
      <c r="F3" s="7" t="inlineStr">
        <is>
          <t>A named person</t>
        </is>
      </c>
      <c r="G3" s="7" t="inlineStr">
        <is>
          <t>How we would reach it</t>
        </is>
      </c>
      <c r="H3" s="7" t="inlineStr">
        <is>
          <t>Host, schema, path, address</t>
        </is>
      </c>
      <c r="I3" s="7" t="inlineStr">
        <is>
          <t>For example env:BANK_KEY. Never the secret itself</t>
        </is>
      </c>
      <c r="J3" s="7" t="inlineStr">
        <is>
          <t>Pick one</t>
        </is>
      </c>
      <c r="K3" s="7" t="inlineStr">
        <is>
          <t>Names or roles</t>
        </is>
      </c>
      <c r="L3" s="7" t="inlineStr">
        <is>
          <t>Pick one</t>
        </is>
      </c>
      <c r="M3" s="7" t="inlineStr">
        <is>
          <t>For example by noon on working days</t>
        </is>
      </c>
      <c r="N3" s="7" t="inlineStr">
        <is>
          <t>Can we get to it?</t>
        </is>
      </c>
      <c r="O3" s="7" t="inlineStr">
        <is>
          <t>A date, or leave blank</t>
        </is>
      </c>
      <c r="P3" s="7" t="inlineStr">
        <is>
          <t>System to onboard, program running, who is doing it</t>
        </is>
      </c>
      <c r="Q3" s="7" t="inlineStr">
        <is>
          <t>Stated, guessed or unknown</t>
        </is>
      </c>
      <c r="R3" s="7" t="inlineStr">
        <is>
          <t>Name</t>
        </is>
      </c>
      <c r="S3" s="7" t="inlineStr">
        <is>
          <t>Date</t>
        </is>
      </c>
      <c r="T3" s="7" t="inlineStr">
        <is>
          <t>Filled in for you</t>
        </is>
      </c>
      <c r="U3" s="7" t="inlineStr">
        <is>
          <t>Anything else</t>
        </is>
      </c>
    </row>
    <row r="4" ht="44" customHeight="1">
      <c r="A4" s="8" t="inlineStr">
        <is>
          <t>Source ID</t>
        </is>
      </c>
      <c r="B4" s="8" t="inlineStr">
        <is>
          <t>Source name</t>
        </is>
      </c>
      <c r="C4" s="8" t="inlineStr">
        <is>
          <t>Source type</t>
        </is>
      </c>
      <c r="D4" s="8" t="inlineStr">
        <is>
          <t>Structured or unstructured</t>
        </is>
      </c>
      <c r="E4" s="8" t="inlineStr">
        <is>
          <t>Where it lands or lives</t>
        </is>
      </c>
      <c r="F4" s="8" t="inlineStr">
        <is>
          <t>Data owner</t>
        </is>
      </c>
      <c r="G4" s="8" t="inlineStr">
        <is>
          <t>Connection method</t>
        </is>
      </c>
      <c r="H4" s="8" t="inlineStr">
        <is>
          <t>Connection details (no passwords)</t>
        </is>
      </c>
      <c r="I4" s="8" t="inlineStr">
        <is>
          <t>Secret reference (name only)</t>
        </is>
      </c>
      <c r="J4" s="8" t="inlineStr">
        <is>
          <t>Contains personal data?</t>
        </is>
      </c>
      <c r="K4" s="8" t="inlineStr">
        <is>
          <t>Who may see it</t>
        </is>
      </c>
      <c r="L4" s="8" t="inlineStr">
        <is>
          <t>How often it arrives</t>
        </is>
      </c>
      <c r="M4" s="8" t="inlineStr">
        <is>
          <t>Expected arrival time or SLA</t>
        </is>
      </c>
      <c r="N4" s="8" t="inlineStr">
        <is>
          <t>Availability</t>
        </is>
      </c>
      <c r="O4" s="8" t="inlineStr">
        <is>
          <t>Tentative date if not available now</t>
        </is>
      </c>
      <c r="P4" s="8" t="inlineStr">
        <is>
          <t>Next step or project</t>
        </is>
      </c>
      <c r="Q4" s="8" t="inlineStr">
        <is>
          <t>How sure are we</t>
        </is>
      </c>
      <c r="R4" s="8" t="inlineStr">
        <is>
          <t>Confirmed by</t>
        </is>
      </c>
      <c r="S4" s="8" t="inlineStr">
        <is>
          <t>Date confirmed</t>
        </is>
      </c>
      <c r="T4" s="8" t="inlineStr">
        <is>
          <t>Complete?</t>
        </is>
      </c>
      <c r="U4" s="8" t="inlineStr">
        <is>
          <t>Notes</t>
        </is>
      </c>
    </row>
    <row r="5">
      <c r="A5" s="9" t="inlineStr">
        <is>
          <t>S01</t>
        </is>
      </c>
      <c r="B5" s="9" t="inlineStr">
        <is>
          <t>Bank portal</t>
        </is>
      </c>
      <c r="C5" s="9" t="inlineStr">
        <is>
          <t>Third-party portal or API</t>
        </is>
      </c>
      <c r="D5" s="9" t="inlineStr">
        <is>
          <t>Structured</t>
        </is>
      </c>
      <c r="E5" s="9" t="inlineStr">
        <is>
          <t>Bank portal, daily download</t>
        </is>
      </c>
      <c r="F5" s="9" t="inlineStr">
        <is>
          <t>Arjun</t>
        </is>
      </c>
      <c r="G5" s="9" t="inlineStr">
        <is>
          <t>File uploaded by the owner</t>
        </is>
      </c>
      <c r="H5" s="9" t="inlineStr">
        <is>
          <t>Download folder Finance/Bank</t>
        </is>
      </c>
      <c r="I5" s="9" t="n"/>
      <c r="J5" s="9" t="inlineStr">
        <is>
          <t>No</t>
        </is>
      </c>
      <c r="K5" s="9" t="inlineStr">
        <is>
          <t>Finance team</t>
        </is>
      </c>
      <c r="L5" s="9" t="inlineStr">
        <is>
          <t>Daily</t>
        </is>
      </c>
      <c r="M5" s="9" t="inlineStr">
        <is>
          <t>By noon on working days</t>
        </is>
      </c>
      <c r="N5" s="9" t="inlineStr">
        <is>
          <t>Available now</t>
        </is>
      </c>
      <c r="O5" s="9" t="n"/>
      <c r="P5" s="9" t="n"/>
      <c r="Q5" s="9" t="inlineStr">
        <is>
          <t>Stated by a named person</t>
        </is>
      </c>
      <c r="R5" s="9" t="inlineStr">
        <is>
          <t>Arjun</t>
        </is>
      </c>
      <c r="S5" s="9" t="n"/>
      <c r="T5" s="10">
        <f>IF(A5="","",IF(COUNTBLANK(B5:D5)+COUNTBLANK(F5:G5)+COUNTBLANK(L5)+COUNTBLANK(Q5)=0,"Complete","Missing "&amp;(COUNTBLANK(B5:D5)+COUNTBLANK(F5:G5)+COUNTBLANK(L5)+COUNTBLANK(Q5))&amp;" required"))</f>
        <v/>
      </c>
      <c r="U5" s="9" t="inlineStr">
        <is>
          <t>EXAMPLE ROW: delete before use</t>
        </is>
      </c>
    </row>
    <row r="6">
      <c r="A6" s="9" t="inlineStr">
        <is>
          <t>S02</t>
        </is>
      </c>
      <c r="B6" s="9" t="inlineStr">
        <is>
          <t>Call notices by email</t>
        </is>
      </c>
      <c r="C6" s="9" t="inlineStr">
        <is>
          <t>Email with attachment</t>
        </is>
      </c>
      <c r="D6" s="9" t="inlineStr">
        <is>
          <t>Unstructured</t>
        </is>
      </c>
      <c r="E6" s="9" t="inlineStr">
        <is>
          <t>Shared mailbox for notices</t>
        </is>
      </c>
      <c r="F6" s="9" t="inlineStr">
        <is>
          <t>Sara</t>
        </is>
      </c>
      <c r="G6" s="9" t="inlineStr">
        <is>
          <t>Email forwarded to us</t>
        </is>
      </c>
      <c r="H6" s="9" t="inlineStr">
        <is>
          <t>Forwarding rule not yet set up</t>
        </is>
      </c>
      <c r="I6" s="9" t="n"/>
      <c r="J6" s="9" t="inlineStr">
        <is>
          <t>Not sure</t>
        </is>
      </c>
      <c r="K6" s="9" t="inlineStr">
        <is>
          <t>Investments team</t>
        </is>
      </c>
      <c r="L6" s="9" t="inlineStr">
        <is>
          <t>Ad hoc</t>
        </is>
      </c>
      <c r="M6" s="9" t="inlineStr">
        <is>
          <t>No fixed time</t>
        </is>
      </c>
      <c r="N6" s="9" t="inlineStr">
        <is>
          <t>Can be made available</t>
        </is>
      </c>
      <c r="O6" s="9" t="n"/>
      <c r="P6" s="9" t="inlineStr">
        <is>
          <t>Set up a forwarding rule; Sara</t>
        </is>
      </c>
      <c r="Q6" s="9" t="inlineStr">
        <is>
          <t>Guessed</t>
        </is>
      </c>
      <c r="R6" s="9" t="n"/>
      <c r="S6" s="9" t="n"/>
      <c r="T6" s="10">
        <f>IF(A6="","",IF(COUNTBLANK(B6:D6)+COUNTBLANK(F6:G6)+COUNTBLANK(L6)+COUNTBLANK(Q6)=0,"Complete","Missing "&amp;(COUNTBLANK(B6:D6)+COUNTBLANK(F6:G6)+COUNTBLANK(L6)+COUNTBLANK(Q6))&amp;" required"))</f>
        <v/>
      </c>
      <c r="U6" s="9" t="inlineStr">
        <is>
          <t>EXAMPLE ROW: delete before use</t>
        </is>
      </c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>
        <f>IF(A7="","",IF(COUNTBLANK(B7:D7)+COUNTBLANK(F7:G7)+COUNTBLANK(L7)+COUNTBLANK(Q7)=0,"Complete","Missing "&amp;(COUNTBLANK(B7:D7)+COUNTBLANK(F7:G7)+COUNTBLANK(L7)+COUNTBLANK(Q7))&amp;" required"))</f>
        <v/>
      </c>
      <c r="U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>
        <f>IF(A8="","",IF(COUNTBLANK(B8:D8)+COUNTBLANK(F8:G8)+COUNTBLANK(L8)+COUNTBLANK(Q8)=0,"Complete","Missing "&amp;(COUNTBLANK(B8:D8)+COUNTBLANK(F8:G8)+COUNTBLANK(L8)+COUNTBLANK(Q8))&amp;" required"))</f>
        <v/>
      </c>
      <c r="U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>
        <f>IF(A9="","",IF(COUNTBLANK(B9:D9)+COUNTBLANK(F9:G9)+COUNTBLANK(L9)+COUNTBLANK(Q9)=0,"Complete","Missing "&amp;(COUNTBLANK(B9:D9)+COUNTBLANK(F9:G9)+COUNTBLANK(L9)+COUNTBLANK(Q9))&amp;" required"))</f>
        <v/>
      </c>
      <c r="U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>
        <f>IF(A10="","",IF(COUNTBLANK(B10:D10)+COUNTBLANK(F10:G10)+COUNTBLANK(L10)+COUNTBLANK(Q10)=0,"Complete","Missing "&amp;(COUNTBLANK(B10:D10)+COUNTBLANK(F10:G10)+COUNTBLANK(L10)+COUNTBLANK(Q10))&amp;" required"))</f>
        <v/>
      </c>
      <c r="U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>
        <f>IF(A11="","",IF(COUNTBLANK(B11:D11)+COUNTBLANK(F11:G11)+COUNTBLANK(L11)+COUNTBLANK(Q11)=0,"Complete","Missing "&amp;(COUNTBLANK(B11:D11)+COUNTBLANK(F11:G11)+COUNTBLANK(L11)+COUNTBLANK(Q11))&amp;" required"))</f>
        <v/>
      </c>
      <c r="U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>
        <f>IF(A12="","",IF(COUNTBLANK(B12:D12)+COUNTBLANK(F12:G12)+COUNTBLANK(L12)+COUNTBLANK(Q12)=0,"Complete","Missing "&amp;(COUNTBLANK(B12:D12)+COUNTBLANK(F12:G12)+COUNTBLANK(L12)+COUNTBLANK(Q12))&amp;" required"))</f>
        <v/>
      </c>
      <c r="U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>
        <f>IF(A13="","",IF(COUNTBLANK(B13:D13)+COUNTBLANK(F13:G13)+COUNTBLANK(L13)+COUNTBLANK(Q13)=0,"Complete","Missing "&amp;(COUNTBLANK(B13:D13)+COUNTBLANK(F13:G13)+COUNTBLANK(L13)+COUNTBLANK(Q13))&amp;" required"))</f>
        <v/>
      </c>
      <c r="U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>
        <f>IF(A14="","",IF(COUNTBLANK(B14:D14)+COUNTBLANK(F14:G14)+COUNTBLANK(L14)+COUNTBLANK(Q14)=0,"Complete","Missing "&amp;(COUNTBLANK(B14:D14)+COUNTBLANK(F14:G14)+COUNTBLANK(L14)+COUNTBLANK(Q14))&amp;" required"))</f>
        <v/>
      </c>
      <c r="U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>
        <f>IF(A15="","",IF(COUNTBLANK(B15:D15)+COUNTBLANK(F15:G15)+COUNTBLANK(L15)+COUNTBLANK(Q15)=0,"Complete","Missing "&amp;(COUNTBLANK(B15:D15)+COUNTBLANK(F15:G15)+COUNTBLANK(L15)+COUNTBLANK(Q15))&amp;" required"))</f>
        <v/>
      </c>
      <c r="U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>
        <f>IF(A16="","",IF(COUNTBLANK(B16:D16)+COUNTBLANK(F16:G16)+COUNTBLANK(L16)+COUNTBLANK(Q16)=0,"Complete","Missing "&amp;(COUNTBLANK(B16:D16)+COUNTBLANK(F16:G16)+COUNTBLANK(L16)+COUNTBLANK(Q16))&amp;" required"))</f>
        <v/>
      </c>
      <c r="U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>
        <f>IF(A17="","",IF(COUNTBLANK(B17:D17)+COUNTBLANK(F17:G17)+COUNTBLANK(L17)+COUNTBLANK(Q17)=0,"Complete","Missing "&amp;(COUNTBLANK(B17:D17)+COUNTBLANK(F17:G17)+COUNTBLANK(L17)+COUNTBLANK(Q17))&amp;" required"))</f>
        <v/>
      </c>
      <c r="U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>
        <f>IF(A18="","",IF(COUNTBLANK(B18:D18)+COUNTBLANK(F18:G18)+COUNTBLANK(L18)+COUNTBLANK(Q18)=0,"Complete","Missing "&amp;(COUNTBLANK(B18:D18)+COUNTBLANK(F18:G18)+COUNTBLANK(L18)+COUNTBLANK(Q18))&amp;" required"))</f>
        <v/>
      </c>
      <c r="U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>
        <f>IF(A19="","",IF(COUNTBLANK(B19:D19)+COUNTBLANK(F19:G19)+COUNTBLANK(L19)+COUNTBLANK(Q19)=0,"Complete","Missing "&amp;(COUNTBLANK(B19:D19)+COUNTBLANK(F19:G19)+COUNTBLANK(L19)+COUNTBLANK(Q19))&amp;" required"))</f>
        <v/>
      </c>
      <c r="U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>
        <f>IF(A20="","",IF(COUNTBLANK(B20:D20)+COUNTBLANK(F20:G20)+COUNTBLANK(L20)+COUNTBLANK(Q20)=0,"Complete","Missing "&amp;(COUNTBLANK(B20:D20)+COUNTBLANK(F20:G20)+COUNTBLANK(L20)+COUNTBLANK(Q20))&amp;" required"))</f>
        <v/>
      </c>
      <c r="U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>
        <f>IF(A21="","",IF(COUNTBLANK(B21:D21)+COUNTBLANK(F21:G21)+COUNTBLANK(L21)+COUNTBLANK(Q21)=0,"Complete","Missing "&amp;(COUNTBLANK(B21:D21)+COUNTBLANK(F21:G21)+COUNTBLANK(L21)+COUNTBLANK(Q21))&amp;" required"))</f>
        <v/>
      </c>
      <c r="U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>
        <f>IF(A22="","",IF(COUNTBLANK(B22:D22)+COUNTBLANK(F22:G22)+COUNTBLANK(L22)+COUNTBLANK(Q22)=0,"Complete","Missing "&amp;(COUNTBLANK(B22:D22)+COUNTBLANK(F22:G22)+COUNTBLANK(L22)+COUNTBLANK(Q22))&amp;" required"))</f>
        <v/>
      </c>
      <c r="U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>
        <f>IF(A23="","",IF(COUNTBLANK(B23:D23)+COUNTBLANK(F23:G23)+COUNTBLANK(L23)+COUNTBLANK(Q23)=0,"Complete","Missing "&amp;(COUNTBLANK(B23:D23)+COUNTBLANK(F23:G23)+COUNTBLANK(L23)+COUNTBLANK(Q23))&amp;" required"))</f>
        <v/>
      </c>
      <c r="U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>
        <f>IF(A24="","",IF(COUNTBLANK(B24:D24)+COUNTBLANK(F24:G24)+COUNTBLANK(L24)+COUNTBLANK(Q24)=0,"Complete","Missing "&amp;(COUNTBLANK(B24:D24)+COUNTBLANK(F24:G24)+COUNTBLANK(L24)+COUNTBLANK(Q24))&amp;" required"))</f>
        <v/>
      </c>
      <c r="U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>
        <f>IF(A25="","",IF(COUNTBLANK(B25:D25)+COUNTBLANK(F25:G25)+COUNTBLANK(L25)+COUNTBLANK(Q25)=0,"Complete","Missing "&amp;(COUNTBLANK(B25:D25)+COUNTBLANK(F25:G25)+COUNTBLANK(L25)+COUNTBLANK(Q25))&amp;" required"))</f>
        <v/>
      </c>
      <c r="U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>
        <f>IF(A26="","",IF(COUNTBLANK(B26:D26)+COUNTBLANK(F26:G26)+COUNTBLANK(L26)+COUNTBLANK(Q26)=0,"Complete","Missing "&amp;(COUNTBLANK(B26:D26)+COUNTBLANK(F26:G26)+COUNTBLANK(L26)+COUNTBLANK(Q26))&amp;" required"))</f>
        <v/>
      </c>
      <c r="U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>
        <f>IF(A27="","",IF(COUNTBLANK(B27:D27)+COUNTBLANK(F27:G27)+COUNTBLANK(L27)+COUNTBLANK(Q27)=0,"Complete","Missing "&amp;(COUNTBLANK(B27:D27)+COUNTBLANK(F27:G27)+COUNTBLANK(L27)+COUNTBLANK(Q27))&amp;" required"))</f>
        <v/>
      </c>
      <c r="U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>
        <f>IF(A28="","",IF(COUNTBLANK(B28:D28)+COUNTBLANK(F28:G28)+COUNTBLANK(L28)+COUNTBLANK(Q28)=0,"Complete","Missing "&amp;(COUNTBLANK(B28:D28)+COUNTBLANK(F28:G28)+COUNTBLANK(L28)+COUNTBLANK(Q28))&amp;" required"))</f>
        <v/>
      </c>
      <c r="U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>
        <f>IF(A29="","",IF(COUNTBLANK(B29:D29)+COUNTBLANK(F29:G29)+COUNTBLANK(L29)+COUNTBLANK(Q29)=0,"Complete","Missing "&amp;(COUNTBLANK(B29:D29)+COUNTBLANK(F29:G29)+COUNTBLANK(L29)+COUNTBLANK(Q29))&amp;" required"))</f>
        <v/>
      </c>
      <c r="U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>
        <f>IF(A30="","",IF(COUNTBLANK(B30:D30)+COUNTBLANK(F30:G30)+COUNTBLANK(L30)+COUNTBLANK(Q30)=0,"Complete","Missing "&amp;(COUNTBLANK(B30:D30)+COUNTBLANK(F30:G30)+COUNTBLANK(L30)+COUNTBLANK(Q30))&amp;" required"))</f>
        <v/>
      </c>
      <c r="U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>
        <f>IF(A31="","",IF(COUNTBLANK(B31:D31)+COUNTBLANK(F31:G31)+COUNTBLANK(L31)+COUNTBLANK(Q31)=0,"Complete","Missing "&amp;(COUNTBLANK(B31:D31)+COUNTBLANK(F31:G31)+COUNTBLANK(L31)+COUNTBLANK(Q31))&amp;" required"))</f>
        <v/>
      </c>
      <c r="U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>
        <f>IF(A32="","",IF(COUNTBLANK(B32:D32)+COUNTBLANK(F32:G32)+COUNTBLANK(L32)+COUNTBLANK(Q32)=0,"Complete","Missing "&amp;(COUNTBLANK(B32:D32)+COUNTBLANK(F32:G32)+COUNTBLANK(L32)+COUNTBLANK(Q32))&amp;" required"))</f>
        <v/>
      </c>
      <c r="U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>
        <f>IF(A33="","",IF(COUNTBLANK(B33:D33)+COUNTBLANK(F33:G33)+COUNTBLANK(L33)+COUNTBLANK(Q33)=0,"Complete","Missing "&amp;(COUNTBLANK(B33:D33)+COUNTBLANK(F33:G33)+COUNTBLANK(L33)+COUNTBLANK(Q33))&amp;" required"))</f>
        <v/>
      </c>
      <c r="U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>
        <f>IF(A34="","",IF(COUNTBLANK(B34:D34)+COUNTBLANK(F34:G34)+COUNTBLANK(L34)+COUNTBLANK(Q34)=0,"Complete","Missing "&amp;(COUNTBLANK(B34:D34)+COUNTBLANK(F34:G34)+COUNTBLANK(L34)+COUNTBLANK(Q34))&amp;" required"))</f>
        <v/>
      </c>
      <c r="U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>
        <f>IF(A35="","",IF(COUNTBLANK(B35:D35)+COUNTBLANK(F35:G35)+COUNTBLANK(L35)+COUNTBLANK(Q35)=0,"Complete","Missing "&amp;(COUNTBLANK(B35:D35)+COUNTBLANK(F35:G35)+COUNTBLANK(L35)+COUNTBLANK(Q35))&amp;" required"))</f>
        <v/>
      </c>
      <c r="U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>
        <f>IF(A36="","",IF(COUNTBLANK(B36:D36)+COUNTBLANK(F36:G36)+COUNTBLANK(L36)+COUNTBLANK(Q36)=0,"Complete","Missing "&amp;(COUNTBLANK(B36:D36)+COUNTBLANK(F36:G36)+COUNTBLANK(L36)+COUNTBLANK(Q36))&amp;" required"))</f>
        <v/>
      </c>
      <c r="U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>
        <f>IF(A37="","",IF(COUNTBLANK(B37:D37)+COUNTBLANK(F37:G37)+COUNTBLANK(L37)+COUNTBLANK(Q37)=0,"Complete","Missing "&amp;(COUNTBLANK(B37:D37)+COUNTBLANK(F37:G37)+COUNTBLANK(L37)+COUNTBLANK(Q37))&amp;" required"))</f>
        <v/>
      </c>
      <c r="U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>
        <f>IF(A38="","",IF(COUNTBLANK(B38:D38)+COUNTBLANK(F38:G38)+COUNTBLANK(L38)+COUNTBLANK(Q38)=0,"Complete","Missing "&amp;(COUNTBLANK(B38:D38)+COUNTBLANK(F38:G38)+COUNTBLANK(L38)+COUNTBLANK(Q38))&amp;" required"))</f>
        <v/>
      </c>
      <c r="U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>
        <f>IF(A39="","",IF(COUNTBLANK(B39:D39)+COUNTBLANK(F39:G39)+COUNTBLANK(L39)+COUNTBLANK(Q39)=0,"Complete","Missing "&amp;(COUNTBLANK(B39:D39)+COUNTBLANK(F39:G39)+COUNTBLANK(L39)+COUNTBLANK(Q39))&amp;" required"))</f>
        <v/>
      </c>
      <c r="U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>
        <f>IF(A40="","",IF(COUNTBLANK(B40:D40)+COUNTBLANK(F40:G40)+COUNTBLANK(L40)+COUNTBLANK(Q40)=0,"Complete","Missing "&amp;(COUNTBLANK(B40:D40)+COUNTBLANK(F40:G40)+COUNTBLANK(L40)+COUNTBLANK(Q40))&amp;" required"))</f>
        <v/>
      </c>
      <c r="U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>
        <f>IF(A41="","",IF(COUNTBLANK(B41:D41)+COUNTBLANK(F41:G41)+COUNTBLANK(L41)+COUNTBLANK(Q41)=0,"Complete","Missing "&amp;(COUNTBLANK(B41:D41)+COUNTBLANK(F41:G41)+COUNTBLANK(L41)+COUNTBLANK(Q41))&amp;" required"))</f>
        <v/>
      </c>
      <c r="U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>
        <f>IF(A42="","",IF(COUNTBLANK(B42:D42)+COUNTBLANK(F42:G42)+COUNTBLANK(L42)+COUNTBLANK(Q42)=0,"Complete","Missing "&amp;(COUNTBLANK(B42:D42)+COUNTBLANK(F42:G42)+COUNTBLANK(L42)+COUNTBLANK(Q42))&amp;" required"))</f>
        <v/>
      </c>
      <c r="U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>
        <f>IF(A43="","",IF(COUNTBLANK(B43:D43)+COUNTBLANK(F43:G43)+COUNTBLANK(L43)+COUNTBLANK(Q43)=0,"Complete","Missing "&amp;(COUNTBLANK(B43:D43)+COUNTBLANK(F43:G43)+COUNTBLANK(L43)+COUNTBLANK(Q43))&amp;" required"))</f>
        <v/>
      </c>
      <c r="U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>
        <f>IF(A44="","",IF(COUNTBLANK(B44:D44)+COUNTBLANK(F44:G44)+COUNTBLANK(L44)+COUNTBLANK(Q44)=0,"Complete","Missing "&amp;(COUNTBLANK(B44:D44)+COUNTBLANK(F44:G44)+COUNTBLANK(L44)+COUNTBLANK(Q44))&amp;" required"))</f>
        <v/>
      </c>
      <c r="U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>
        <f>IF(A45="","",IF(COUNTBLANK(B45:D45)+COUNTBLANK(F45:G45)+COUNTBLANK(L45)+COUNTBLANK(Q45)=0,"Complete","Missing "&amp;(COUNTBLANK(B45:D45)+COUNTBLANK(F45:G45)+COUNTBLANK(L45)+COUNTBLANK(Q45))&amp;" required"))</f>
        <v/>
      </c>
      <c r="U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>
        <f>IF(A46="","",IF(COUNTBLANK(B46:D46)+COUNTBLANK(F46:G46)+COUNTBLANK(L46)+COUNTBLANK(Q46)=0,"Complete","Missing "&amp;(COUNTBLANK(B46:D46)+COUNTBLANK(F46:G46)+COUNTBLANK(L46)+COUNTBLANK(Q46))&amp;" required"))</f>
        <v/>
      </c>
      <c r="U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>
        <f>IF(A47="","",IF(COUNTBLANK(B47:D47)+COUNTBLANK(F47:G47)+COUNTBLANK(L47)+COUNTBLANK(Q47)=0,"Complete","Missing "&amp;(COUNTBLANK(B47:D47)+COUNTBLANK(F47:G47)+COUNTBLANK(L47)+COUNTBLANK(Q47))&amp;" required"))</f>
        <v/>
      </c>
      <c r="U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>
        <f>IF(A48="","",IF(COUNTBLANK(B48:D48)+COUNTBLANK(F48:G48)+COUNTBLANK(L48)+COUNTBLANK(Q48)=0,"Complete","Missing "&amp;(COUNTBLANK(B48:D48)+COUNTBLANK(F48:G48)+COUNTBLANK(L48)+COUNTBLANK(Q48))&amp;" required"))</f>
        <v/>
      </c>
      <c r="U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>
        <f>IF(A49="","",IF(COUNTBLANK(B49:D49)+COUNTBLANK(F49:G49)+COUNTBLANK(L49)+COUNTBLANK(Q49)=0,"Complete","Missing "&amp;(COUNTBLANK(B49:D49)+COUNTBLANK(F49:G49)+COUNTBLANK(L49)+COUNTBLANK(Q49))&amp;" required"))</f>
        <v/>
      </c>
      <c r="U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>
        <f>IF(A50="","",IF(COUNTBLANK(B50:D50)+COUNTBLANK(F50:G50)+COUNTBLANK(L50)+COUNTBLANK(Q50)=0,"Complete","Missing "&amp;(COUNTBLANK(B50:D50)+COUNTBLANK(F50:G50)+COUNTBLANK(L50)+COUNTBLANK(Q50))&amp;" required"))</f>
        <v/>
      </c>
      <c r="U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>
        <f>IF(A51="","",IF(COUNTBLANK(B51:D51)+COUNTBLANK(F51:G51)+COUNTBLANK(L51)+COUNTBLANK(Q51)=0,"Complete","Missing "&amp;(COUNTBLANK(B51:D51)+COUNTBLANK(F51:G51)+COUNTBLANK(L51)+COUNTBLANK(Q51))&amp;" required"))</f>
        <v/>
      </c>
      <c r="U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>
        <f>IF(A52="","",IF(COUNTBLANK(B52:D52)+COUNTBLANK(F52:G52)+COUNTBLANK(L52)+COUNTBLANK(Q52)=0,"Complete","Missing "&amp;(COUNTBLANK(B52:D52)+COUNTBLANK(F52:G52)+COUNTBLANK(L52)+COUNTBLANK(Q52))&amp;" required"))</f>
        <v/>
      </c>
      <c r="U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>
        <f>IF(A53="","",IF(COUNTBLANK(B53:D53)+COUNTBLANK(F53:G53)+COUNTBLANK(L53)+COUNTBLANK(Q53)=0,"Complete","Missing "&amp;(COUNTBLANK(B53:D53)+COUNTBLANK(F53:G53)+COUNTBLANK(L53)+COUNTBLANK(Q53))&amp;" required"))</f>
        <v/>
      </c>
      <c r="U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>
        <f>IF(A54="","",IF(COUNTBLANK(B54:D54)+COUNTBLANK(F54:G54)+COUNTBLANK(L54)+COUNTBLANK(Q54)=0,"Complete","Missing "&amp;(COUNTBLANK(B54:D54)+COUNTBLANK(F54:G54)+COUNTBLANK(L54)+COUNTBLANK(Q54))&amp;" required"))</f>
        <v/>
      </c>
      <c r="U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>
        <f>IF(A55="","",IF(COUNTBLANK(B55:D55)+COUNTBLANK(F55:G55)+COUNTBLANK(L55)+COUNTBLANK(Q55)=0,"Complete","Missing "&amp;(COUNTBLANK(B55:D55)+COUNTBLANK(F55:G55)+COUNTBLANK(L55)+COUNTBLANK(Q55))&amp;" required"))</f>
        <v/>
      </c>
      <c r="U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>
        <f>IF(A56="","",IF(COUNTBLANK(B56:D56)+COUNTBLANK(F56:G56)+COUNTBLANK(L56)+COUNTBLANK(Q56)=0,"Complete","Missing "&amp;(COUNTBLANK(B56:D56)+COUNTBLANK(F56:G56)+COUNTBLANK(L56)+COUNTBLANK(Q56))&amp;" required"))</f>
        <v/>
      </c>
      <c r="U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>
        <f>IF(A57="","",IF(COUNTBLANK(B57:D57)+COUNTBLANK(F57:G57)+COUNTBLANK(L57)+COUNTBLANK(Q57)=0,"Complete","Missing "&amp;(COUNTBLANK(B57:D57)+COUNTBLANK(F57:G57)+COUNTBLANK(L57)+COUNTBLANK(Q57))&amp;" required"))</f>
        <v/>
      </c>
      <c r="U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>
        <f>IF(A58="","",IF(COUNTBLANK(B58:D58)+COUNTBLANK(F58:G58)+COUNTBLANK(L58)+COUNTBLANK(Q58)=0,"Complete","Missing "&amp;(COUNTBLANK(B58:D58)+COUNTBLANK(F58:G58)+COUNTBLANK(L58)+COUNTBLANK(Q58))&amp;" required"))</f>
        <v/>
      </c>
      <c r="U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>
        <f>IF(A59="","",IF(COUNTBLANK(B59:D59)+COUNTBLANK(F59:G59)+COUNTBLANK(L59)+COUNTBLANK(Q59)=0,"Complete","Missing "&amp;(COUNTBLANK(B59:D59)+COUNTBLANK(F59:G59)+COUNTBLANK(L59)+COUNTBLANK(Q59))&amp;" required"))</f>
        <v/>
      </c>
      <c r="U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>
        <f>IF(A60="","",IF(COUNTBLANK(B60:D60)+COUNTBLANK(F60:G60)+COUNTBLANK(L60)+COUNTBLANK(Q60)=0,"Complete","Missing "&amp;(COUNTBLANK(B60:D60)+COUNTBLANK(F60:G60)+COUNTBLANK(L60)+COUNTBLANK(Q60))&amp;" required"))</f>
        <v/>
      </c>
      <c r="U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>
        <f>IF(A61="","",IF(COUNTBLANK(B61:D61)+COUNTBLANK(F61:G61)+COUNTBLANK(L61)+COUNTBLANK(Q61)=0,"Complete","Missing "&amp;(COUNTBLANK(B61:D61)+COUNTBLANK(F61:G61)+COUNTBLANK(L61)+COUNTBLANK(Q61))&amp;" required"))</f>
        <v/>
      </c>
      <c r="U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>
        <f>IF(A62="","",IF(COUNTBLANK(B62:D62)+COUNTBLANK(F62:G62)+COUNTBLANK(L62)+COUNTBLANK(Q62)=0,"Complete","Missing "&amp;(COUNTBLANK(B62:D62)+COUNTBLANK(F62:G62)+COUNTBLANK(L62)+COUNTBLANK(Q62))&amp;" required"))</f>
        <v/>
      </c>
      <c r="U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>
        <f>IF(A63="","",IF(COUNTBLANK(B63:D63)+COUNTBLANK(F63:G63)+COUNTBLANK(L63)+COUNTBLANK(Q63)=0,"Complete","Missing "&amp;(COUNTBLANK(B63:D63)+COUNTBLANK(F63:G63)+COUNTBLANK(L63)+COUNTBLANK(Q63))&amp;" required"))</f>
        <v/>
      </c>
      <c r="U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>
        <f>IF(A64="","",IF(COUNTBLANK(B64:D64)+COUNTBLANK(F64:G64)+COUNTBLANK(L64)+COUNTBLANK(Q64)=0,"Complete","Missing "&amp;(COUNTBLANK(B64:D64)+COUNTBLANK(F64:G64)+COUNTBLANK(L64)+COUNTBLANK(Q64))&amp;" required"))</f>
        <v/>
      </c>
      <c r="U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>
        <f>IF(A65="","",IF(COUNTBLANK(B65:D65)+COUNTBLANK(F65:G65)+COUNTBLANK(L65)+COUNTBLANK(Q65)=0,"Complete","Missing "&amp;(COUNTBLANK(B65:D65)+COUNTBLANK(F65:G65)+COUNTBLANK(L65)+COUNTBLANK(Q65))&amp;" required"))</f>
        <v/>
      </c>
      <c r="U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>
        <f>IF(A66="","",IF(COUNTBLANK(B66:D66)+COUNTBLANK(F66:G66)+COUNTBLANK(L66)+COUNTBLANK(Q66)=0,"Complete","Missing "&amp;(COUNTBLANK(B66:D66)+COUNTBLANK(F66:G66)+COUNTBLANK(L66)+COUNTBLANK(Q66))&amp;" required"))</f>
        <v/>
      </c>
      <c r="U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>
        <f>IF(A67="","",IF(COUNTBLANK(B67:D67)+COUNTBLANK(F67:G67)+COUNTBLANK(L67)+COUNTBLANK(Q67)=0,"Complete","Missing "&amp;(COUNTBLANK(B67:D67)+COUNTBLANK(F67:G67)+COUNTBLANK(L67)+COUNTBLANK(Q67))&amp;" required"))</f>
        <v/>
      </c>
      <c r="U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>
        <f>IF(A68="","",IF(COUNTBLANK(B68:D68)+COUNTBLANK(F68:G68)+COUNTBLANK(L68)+COUNTBLANK(Q68)=0,"Complete","Missing "&amp;(COUNTBLANK(B68:D68)+COUNTBLANK(F68:G68)+COUNTBLANK(L68)+COUNTBLANK(Q68))&amp;" required"))</f>
        <v/>
      </c>
      <c r="U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>
        <f>IF(A69="","",IF(COUNTBLANK(B69:D69)+COUNTBLANK(F69:G69)+COUNTBLANK(L69)+COUNTBLANK(Q69)=0,"Complete","Missing "&amp;(COUNTBLANK(B69:D69)+COUNTBLANK(F69:G69)+COUNTBLANK(L69)+COUNTBLANK(Q69))&amp;" required"))</f>
        <v/>
      </c>
      <c r="U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>
        <f>IF(A70="","",IF(COUNTBLANK(B70:D70)+COUNTBLANK(F70:G70)+COUNTBLANK(L70)+COUNTBLANK(Q70)=0,"Complete","Missing "&amp;(COUNTBLANK(B70:D70)+COUNTBLANK(F70:G70)+COUNTBLANK(L70)+COUNTBLANK(Q70))&amp;" required"))</f>
        <v/>
      </c>
      <c r="U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>
        <f>IF(A71="","",IF(COUNTBLANK(B71:D71)+COUNTBLANK(F71:G71)+COUNTBLANK(L71)+COUNTBLANK(Q71)=0,"Complete","Missing "&amp;(COUNTBLANK(B71:D71)+COUNTBLANK(F71:G71)+COUNTBLANK(L71)+COUNTBLANK(Q71))&amp;" required"))</f>
        <v/>
      </c>
      <c r="U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>
        <f>IF(A72="","",IF(COUNTBLANK(B72:D72)+COUNTBLANK(F72:G72)+COUNTBLANK(L72)+COUNTBLANK(Q72)=0,"Complete","Missing "&amp;(COUNTBLANK(B72:D72)+COUNTBLANK(F72:G72)+COUNTBLANK(L72)+COUNTBLANK(Q72))&amp;" required"))</f>
        <v/>
      </c>
      <c r="U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>
        <f>IF(A73="","",IF(COUNTBLANK(B73:D73)+COUNTBLANK(F73:G73)+COUNTBLANK(L73)+COUNTBLANK(Q73)=0,"Complete","Missing "&amp;(COUNTBLANK(B73:D73)+COUNTBLANK(F73:G73)+COUNTBLANK(L73)+COUNTBLANK(Q73))&amp;" required"))</f>
        <v/>
      </c>
      <c r="U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>
        <f>IF(A74="","",IF(COUNTBLANK(B74:D74)+COUNTBLANK(F74:G74)+COUNTBLANK(L74)+COUNTBLANK(Q74)=0,"Complete","Missing "&amp;(COUNTBLANK(B74:D74)+COUNTBLANK(F74:G74)+COUNTBLANK(L74)+COUNTBLANK(Q74))&amp;" required"))</f>
        <v/>
      </c>
      <c r="U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>
        <f>IF(A75="","",IF(COUNTBLANK(B75:D75)+COUNTBLANK(F75:G75)+COUNTBLANK(L75)+COUNTBLANK(Q75)=0,"Complete","Missing "&amp;(COUNTBLANK(B75:D75)+COUNTBLANK(F75:G75)+COUNTBLANK(L75)+COUNTBLANK(Q75))&amp;" required"))</f>
        <v/>
      </c>
      <c r="U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>
        <f>IF(A76="","",IF(COUNTBLANK(B76:D76)+COUNTBLANK(F76:G76)+COUNTBLANK(L76)+COUNTBLANK(Q76)=0,"Complete","Missing "&amp;(COUNTBLANK(B76:D76)+COUNTBLANK(F76:G76)+COUNTBLANK(L76)+COUNTBLANK(Q76))&amp;" required"))</f>
        <v/>
      </c>
      <c r="U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>
        <f>IF(A77="","",IF(COUNTBLANK(B77:D77)+COUNTBLANK(F77:G77)+COUNTBLANK(L77)+COUNTBLANK(Q77)=0,"Complete","Missing "&amp;(COUNTBLANK(B77:D77)+COUNTBLANK(F77:G77)+COUNTBLANK(L77)+COUNTBLANK(Q77))&amp;" required"))</f>
        <v/>
      </c>
      <c r="U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>
        <f>IF(A78="","",IF(COUNTBLANK(B78:D78)+COUNTBLANK(F78:G78)+COUNTBLANK(L78)+COUNTBLANK(Q78)=0,"Complete","Missing "&amp;(COUNTBLANK(B78:D78)+COUNTBLANK(F78:G78)+COUNTBLANK(L78)+COUNTBLANK(Q78))&amp;" required"))</f>
        <v/>
      </c>
      <c r="U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>
        <f>IF(A79="","",IF(COUNTBLANK(B79:D79)+COUNTBLANK(F79:G79)+COUNTBLANK(L79)+COUNTBLANK(Q79)=0,"Complete","Missing "&amp;(COUNTBLANK(B79:D79)+COUNTBLANK(F79:G79)+COUNTBLANK(L79)+COUNTBLANK(Q79))&amp;" required"))</f>
        <v/>
      </c>
      <c r="U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>
        <f>IF(A80="","",IF(COUNTBLANK(B80:D80)+COUNTBLANK(F80:G80)+COUNTBLANK(L80)+COUNTBLANK(Q80)=0,"Complete","Missing "&amp;(COUNTBLANK(B80:D80)+COUNTBLANK(F80:G80)+COUNTBLANK(L80)+COUNTBLANK(Q80))&amp;" required"))</f>
        <v/>
      </c>
      <c r="U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>
        <f>IF(A81="","",IF(COUNTBLANK(B81:D81)+COUNTBLANK(F81:G81)+COUNTBLANK(L81)+COUNTBLANK(Q81)=0,"Complete","Missing "&amp;(COUNTBLANK(B81:D81)+COUNTBLANK(F81:G81)+COUNTBLANK(L81)+COUNTBLANK(Q81))&amp;" required"))</f>
        <v/>
      </c>
      <c r="U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>
        <f>IF(A82="","",IF(COUNTBLANK(B82:D82)+COUNTBLANK(F82:G82)+COUNTBLANK(L82)+COUNTBLANK(Q82)=0,"Complete","Missing "&amp;(COUNTBLANK(B82:D82)+COUNTBLANK(F82:G82)+COUNTBLANK(L82)+COUNTBLANK(Q82))&amp;" required"))</f>
        <v/>
      </c>
      <c r="U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>
        <f>IF(A83="","",IF(COUNTBLANK(B83:D83)+COUNTBLANK(F83:G83)+COUNTBLANK(L83)+COUNTBLANK(Q83)=0,"Complete","Missing "&amp;(COUNTBLANK(B83:D83)+COUNTBLANK(F83:G83)+COUNTBLANK(L83)+COUNTBLANK(Q83))&amp;" required"))</f>
        <v/>
      </c>
      <c r="U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>
        <f>IF(A84="","",IF(COUNTBLANK(B84:D84)+COUNTBLANK(F84:G84)+COUNTBLANK(L84)+COUNTBLANK(Q84)=0,"Complete","Missing "&amp;(COUNTBLANK(B84:D84)+COUNTBLANK(F84:G84)+COUNTBLANK(L84)+COUNTBLANK(Q84))&amp;" required"))</f>
        <v/>
      </c>
      <c r="U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>
        <f>IF(A85="","",IF(COUNTBLANK(B85:D85)+COUNTBLANK(F85:G85)+COUNTBLANK(L85)+COUNTBLANK(Q85)=0,"Complete","Missing "&amp;(COUNTBLANK(B85:D85)+COUNTBLANK(F85:G85)+COUNTBLANK(L85)+COUNTBLANK(Q85))&amp;" required"))</f>
        <v/>
      </c>
      <c r="U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>
        <f>IF(A86="","",IF(COUNTBLANK(B86:D86)+COUNTBLANK(F86:G86)+COUNTBLANK(L86)+COUNTBLANK(Q86)=0,"Complete","Missing "&amp;(COUNTBLANK(B86:D86)+COUNTBLANK(F86:G86)+COUNTBLANK(L86)+COUNTBLANK(Q86))&amp;" required"))</f>
        <v/>
      </c>
      <c r="U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>
        <f>IF(A87="","",IF(COUNTBLANK(B87:D87)+COUNTBLANK(F87:G87)+COUNTBLANK(L87)+COUNTBLANK(Q87)=0,"Complete","Missing "&amp;(COUNTBLANK(B87:D87)+COUNTBLANK(F87:G87)+COUNTBLANK(L87)+COUNTBLANK(Q87))&amp;" required"))</f>
        <v/>
      </c>
      <c r="U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>
        <f>IF(A88="","",IF(COUNTBLANK(B88:D88)+COUNTBLANK(F88:G88)+COUNTBLANK(L88)+COUNTBLANK(Q88)=0,"Complete","Missing "&amp;(COUNTBLANK(B88:D88)+COUNTBLANK(F88:G88)+COUNTBLANK(L88)+COUNTBLANK(Q88))&amp;" required"))</f>
        <v/>
      </c>
      <c r="U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>
        <f>IF(A89="","",IF(COUNTBLANK(B89:D89)+COUNTBLANK(F89:G89)+COUNTBLANK(L89)+COUNTBLANK(Q89)=0,"Complete","Missing "&amp;(COUNTBLANK(B89:D89)+COUNTBLANK(F89:G89)+COUNTBLANK(L89)+COUNTBLANK(Q89))&amp;" required"))</f>
        <v/>
      </c>
      <c r="U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>
        <f>IF(A90="","",IF(COUNTBLANK(B90:D90)+COUNTBLANK(F90:G90)+COUNTBLANK(L90)+COUNTBLANK(Q90)=0,"Complete","Missing "&amp;(COUNTBLANK(B90:D90)+COUNTBLANK(F90:G90)+COUNTBLANK(L90)+COUNTBLANK(Q90))&amp;" required"))</f>
        <v/>
      </c>
      <c r="U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>
        <f>IF(A91="","",IF(COUNTBLANK(B91:D91)+COUNTBLANK(F91:G91)+COUNTBLANK(L91)+COUNTBLANK(Q91)=0,"Complete","Missing "&amp;(COUNTBLANK(B91:D91)+COUNTBLANK(F91:G91)+COUNTBLANK(L91)+COUNTBLANK(Q91))&amp;" required"))</f>
        <v/>
      </c>
      <c r="U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>
        <f>IF(A92="","",IF(COUNTBLANK(B92:D92)+COUNTBLANK(F92:G92)+COUNTBLANK(L92)+COUNTBLANK(Q92)=0,"Complete","Missing "&amp;(COUNTBLANK(B92:D92)+COUNTBLANK(F92:G92)+COUNTBLANK(L92)+COUNTBLANK(Q92))&amp;" required"))</f>
        <v/>
      </c>
      <c r="U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>
        <f>IF(A93="","",IF(COUNTBLANK(B93:D93)+COUNTBLANK(F93:G93)+COUNTBLANK(L93)+COUNTBLANK(Q93)=0,"Complete","Missing "&amp;(COUNTBLANK(B93:D93)+COUNTBLANK(F93:G93)+COUNTBLANK(L93)+COUNTBLANK(Q93))&amp;" required"))</f>
        <v/>
      </c>
      <c r="U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>
        <f>IF(A94="","",IF(COUNTBLANK(B94:D94)+COUNTBLANK(F94:G94)+COUNTBLANK(L94)+COUNTBLANK(Q94)=0,"Complete","Missing "&amp;(COUNTBLANK(B94:D94)+COUNTBLANK(F94:G94)+COUNTBLANK(L94)+COUNTBLANK(Q94))&amp;" required"))</f>
        <v/>
      </c>
      <c r="U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>
        <f>IF(A95="","",IF(COUNTBLANK(B95:D95)+COUNTBLANK(F95:G95)+COUNTBLANK(L95)+COUNTBLANK(Q95)=0,"Complete","Missing "&amp;(COUNTBLANK(B95:D95)+COUNTBLANK(F95:G95)+COUNTBLANK(L95)+COUNTBLANK(Q95))&amp;" required"))</f>
        <v/>
      </c>
      <c r="U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>
        <f>IF(A96="","",IF(COUNTBLANK(B96:D96)+COUNTBLANK(F96:G96)+COUNTBLANK(L96)+COUNTBLANK(Q96)=0,"Complete","Missing "&amp;(COUNTBLANK(B96:D96)+COUNTBLANK(F96:G96)+COUNTBLANK(L96)+COUNTBLANK(Q96))&amp;" required"))</f>
        <v/>
      </c>
      <c r="U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>
        <f>IF(A97="","",IF(COUNTBLANK(B97:D97)+COUNTBLANK(F97:G97)+COUNTBLANK(L97)+COUNTBLANK(Q97)=0,"Complete","Missing "&amp;(COUNTBLANK(B97:D97)+COUNTBLANK(F97:G97)+COUNTBLANK(L97)+COUNTBLANK(Q97))&amp;" required"))</f>
        <v/>
      </c>
      <c r="U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>
        <f>IF(A98="","",IF(COUNTBLANK(B98:D98)+COUNTBLANK(F98:G98)+COUNTBLANK(L98)+COUNTBLANK(Q98)=0,"Complete","Missing "&amp;(COUNTBLANK(B98:D98)+COUNTBLANK(F98:G98)+COUNTBLANK(L98)+COUNTBLANK(Q98))&amp;" required"))</f>
        <v/>
      </c>
      <c r="U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>
        <f>IF(A99="","",IF(COUNTBLANK(B99:D99)+COUNTBLANK(F99:G99)+COUNTBLANK(L99)+COUNTBLANK(Q99)=0,"Complete","Missing "&amp;(COUNTBLANK(B99:D99)+COUNTBLANK(F99:G99)+COUNTBLANK(L99)+COUNTBLANK(Q99))&amp;" required"))</f>
        <v/>
      </c>
      <c r="U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>
        <f>IF(A100="","",IF(COUNTBLANK(B100:D100)+COUNTBLANK(F100:G100)+COUNTBLANK(L100)+COUNTBLANK(Q100)=0,"Complete","Missing "&amp;(COUNTBLANK(B100:D100)+COUNTBLANK(F100:G100)+COUNTBLANK(L100)+COUNTBLANK(Q100))&amp;" required"))</f>
        <v/>
      </c>
      <c r="U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>
        <f>IF(A101="","",IF(COUNTBLANK(B101:D101)+COUNTBLANK(F101:G101)+COUNTBLANK(L101)+COUNTBLANK(Q101)=0,"Complete","Missing "&amp;(COUNTBLANK(B101:D101)+COUNTBLANK(F101:G101)+COUNTBLANK(L101)+COUNTBLANK(Q101))&amp;" required"))</f>
        <v/>
      </c>
      <c r="U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>
        <f>IF(A102="","",IF(COUNTBLANK(B102:D102)+COUNTBLANK(F102:G102)+COUNTBLANK(L102)+COUNTBLANK(Q102)=0,"Complete","Missing "&amp;(COUNTBLANK(B102:D102)+COUNTBLANK(F102:G102)+COUNTBLANK(L102)+COUNTBLANK(Q102))&amp;" required"))</f>
        <v/>
      </c>
      <c r="U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>
        <f>IF(A103="","",IF(COUNTBLANK(B103:D103)+COUNTBLANK(F103:G103)+COUNTBLANK(L103)+COUNTBLANK(Q103)=0,"Complete","Missing "&amp;(COUNTBLANK(B103:D103)+COUNTBLANK(F103:G103)+COUNTBLANK(L103)+COUNTBLANK(Q103))&amp;" required"))</f>
        <v/>
      </c>
      <c r="U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>
        <f>IF(A104="","",IF(COUNTBLANK(B104:D104)+COUNTBLANK(F104:G104)+COUNTBLANK(L104)+COUNTBLANK(Q104)=0,"Complete","Missing "&amp;(COUNTBLANK(B104:D104)+COUNTBLANK(F104:G104)+COUNTBLANK(L104)+COUNTBLANK(Q104))&amp;" required"))</f>
        <v/>
      </c>
      <c r="U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>
        <f>IF(A105="","",IF(COUNTBLANK(B105:D105)+COUNTBLANK(F105:G105)+COUNTBLANK(L105)+COUNTBLANK(Q105)=0,"Complete","Missing "&amp;(COUNTBLANK(B105:D105)+COUNTBLANK(F105:G105)+COUNTBLANK(L105)+COUNTBLANK(Q105))&amp;" required"))</f>
        <v/>
      </c>
      <c r="U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>
        <f>IF(A106="","",IF(COUNTBLANK(B106:D106)+COUNTBLANK(F106:G106)+COUNTBLANK(L106)+COUNTBLANK(Q106)=0,"Complete","Missing "&amp;(COUNTBLANK(B106:D106)+COUNTBLANK(F106:G106)+COUNTBLANK(L106)+COUNTBLANK(Q106))&amp;" required"))</f>
        <v/>
      </c>
      <c r="U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>
        <f>IF(A107="","",IF(COUNTBLANK(B107:D107)+COUNTBLANK(F107:G107)+COUNTBLANK(L107)+COUNTBLANK(Q107)=0,"Complete","Missing "&amp;(COUNTBLANK(B107:D107)+COUNTBLANK(F107:G107)+COUNTBLANK(L107)+COUNTBLANK(Q107))&amp;" required"))</f>
        <v/>
      </c>
      <c r="U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>
        <f>IF(A108="","",IF(COUNTBLANK(B108:D108)+COUNTBLANK(F108:G108)+COUNTBLANK(L108)+COUNTBLANK(Q108)=0,"Complete","Missing "&amp;(COUNTBLANK(B108:D108)+COUNTBLANK(F108:G108)+COUNTBLANK(L108)+COUNTBLANK(Q108))&amp;" required"))</f>
        <v/>
      </c>
      <c r="U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>
        <f>IF(A109="","",IF(COUNTBLANK(B109:D109)+COUNTBLANK(F109:G109)+COUNTBLANK(L109)+COUNTBLANK(Q109)=0,"Complete","Missing "&amp;(COUNTBLANK(B109:D109)+COUNTBLANK(F109:G109)+COUNTBLANK(L109)+COUNTBLANK(Q109))&amp;" required"))</f>
        <v/>
      </c>
      <c r="U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>
        <f>IF(A110="","",IF(COUNTBLANK(B110:D110)+COUNTBLANK(F110:G110)+COUNTBLANK(L110)+COUNTBLANK(Q110)=0,"Complete","Missing "&amp;(COUNTBLANK(B110:D110)+COUNTBLANK(F110:G110)+COUNTBLANK(L110)+COUNTBLANK(Q110))&amp;" required"))</f>
        <v/>
      </c>
      <c r="U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>
        <f>IF(A111="","",IF(COUNTBLANK(B111:D111)+COUNTBLANK(F111:G111)+COUNTBLANK(L111)+COUNTBLANK(Q111)=0,"Complete","Missing "&amp;(COUNTBLANK(B111:D111)+COUNTBLANK(F111:G111)+COUNTBLANK(L111)+COUNTBLANK(Q111))&amp;" required"))</f>
        <v/>
      </c>
      <c r="U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>
        <f>IF(A112="","",IF(COUNTBLANK(B112:D112)+COUNTBLANK(F112:G112)+COUNTBLANK(L112)+COUNTBLANK(Q112)=0,"Complete","Missing "&amp;(COUNTBLANK(B112:D112)+COUNTBLANK(F112:G112)+COUNTBLANK(L112)+COUNTBLANK(Q112))&amp;" required"))</f>
        <v/>
      </c>
      <c r="U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>
        <f>IF(A113="","",IF(COUNTBLANK(B113:D113)+COUNTBLANK(F113:G113)+COUNTBLANK(L113)+COUNTBLANK(Q113)=0,"Complete","Missing "&amp;(COUNTBLANK(B113:D113)+COUNTBLANK(F113:G113)+COUNTBLANK(L113)+COUNTBLANK(Q113))&amp;" required"))</f>
        <v/>
      </c>
      <c r="U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>
        <f>IF(A114="","",IF(COUNTBLANK(B114:D114)+COUNTBLANK(F114:G114)+COUNTBLANK(L114)+COUNTBLANK(Q114)=0,"Complete","Missing "&amp;(COUNTBLANK(B114:D114)+COUNTBLANK(F114:G114)+COUNTBLANK(L114)+COUNTBLANK(Q114))&amp;" required"))</f>
        <v/>
      </c>
      <c r="U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>
        <f>IF(A115="","",IF(COUNTBLANK(B115:D115)+COUNTBLANK(F115:G115)+COUNTBLANK(L115)+COUNTBLANK(Q115)=0,"Complete","Missing "&amp;(COUNTBLANK(B115:D115)+COUNTBLANK(F115:G115)+COUNTBLANK(L115)+COUNTBLANK(Q115))&amp;" required"))</f>
        <v/>
      </c>
      <c r="U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>
        <f>IF(A116="","",IF(COUNTBLANK(B116:D116)+COUNTBLANK(F116:G116)+COUNTBLANK(L116)+COUNTBLANK(Q116)=0,"Complete","Missing "&amp;(COUNTBLANK(B116:D116)+COUNTBLANK(F116:G116)+COUNTBLANK(L116)+COUNTBLANK(Q116))&amp;" required"))</f>
        <v/>
      </c>
      <c r="U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>
        <f>IF(A117="","",IF(COUNTBLANK(B117:D117)+COUNTBLANK(F117:G117)+COUNTBLANK(L117)+COUNTBLANK(Q117)=0,"Complete","Missing "&amp;(COUNTBLANK(B117:D117)+COUNTBLANK(F117:G117)+COUNTBLANK(L117)+COUNTBLANK(Q117))&amp;" required"))</f>
        <v/>
      </c>
      <c r="U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>
        <f>IF(A118="","",IF(COUNTBLANK(B118:D118)+COUNTBLANK(F118:G118)+COUNTBLANK(L118)+COUNTBLANK(Q118)=0,"Complete","Missing "&amp;(COUNTBLANK(B118:D118)+COUNTBLANK(F118:G118)+COUNTBLANK(L118)+COUNTBLANK(Q118))&amp;" required"))</f>
        <v/>
      </c>
      <c r="U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>
        <f>IF(A119="","",IF(COUNTBLANK(B119:D119)+COUNTBLANK(F119:G119)+COUNTBLANK(L119)+COUNTBLANK(Q119)=0,"Complete","Missing "&amp;(COUNTBLANK(B119:D119)+COUNTBLANK(F119:G119)+COUNTBLANK(L119)+COUNTBLANK(Q119))&amp;" required"))</f>
        <v/>
      </c>
      <c r="U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>
        <f>IF(A120="","",IF(COUNTBLANK(B120:D120)+COUNTBLANK(F120:G120)+COUNTBLANK(L120)+COUNTBLANK(Q120)=0,"Complete","Missing "&amp;(COUNTBLANK(B120:D120)+COUNTBLANK(F120:G120)+COUNTBLANK(L120)+COUNTBLANK(Q120))&amp;" required"))</f>
        <v/>
      </c>
      <c r="U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>
        <f>IF(A121="","",IF(COUNTBLANK(B121:D121)+COUNTBLANK(F121:G121)+COUNTBLANK(L121)+COUNTBLANK(Q121)=0,"Complete","Missing "&amp;(COUNTBLANK(B121:D121)+COUNTBLANK(F121:G121)+COUNTBLANK(L121)+COUNTBLANK(Q121))&amp;" required"))</f>
        <v/>
      </c>
      <c r="U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>
        <f>IF(A122="","",IF(COUNTBLANK(B122:D122)+COUNTBLANK(F122:G122)+COUNTBLANK(L122)+COUNTBLANK(Q122)=0,"Complete","Missing "&amp;(COUNTBLANK(B122:D122)+COUNTBLANK(F122:G122)+COUNTBLANK(L122)+COUNTBLANK(Q122))&amp;" required"))</f>
        <v/>
      </c>
      <c r="U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>
        <f>IF(A123="","",IF(COUNTBLANK(B123:D123)+COUNTBLANK(F123:G123)+COUNTBLANK(L123)+COUNTBLANK(Q123)=0,"Complete","Missing "&amp;(COUNTBLANK(B123:D123)+COUNTBLANK(F123:G123)+COUNTBLANK(L123)+COUNTBLANK(Q123))&amp;" required"))</f>
        <v/>
      </c>
      <c r="U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>
        <f>IF(A124="","",IF(COUNTBLANK(B124:D124)+COUNTBLANK(F124:G124)+COUNTBLANK(L124)+COUNTBLANK(Q124)=0,"Complete","Missing "&amp;(COUNTBLANK(B124:D124)+COUNTBLANK(F124:G124)+COUNTBLANK(L124)+COUNTBLANK(Q124))&amp;" required"))</f>
        <v/>
      </c>
      <c r="U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>
        <f>IF(A125="","",IF(COUNTBLANK(B125:D125)+COUNTBLANK(F125:G125)+COUNTBLANK(L125)+COUNTBLANK(Q125)=0,"Complete","Missing "&amp;(COUNTBLANK(B125:D125)+COUNTBLANK(F125:G125)+COUNTBLANK(L125)+COUNTBLANK(Q125))&amp;" required"))</f>
        <v/>
      </c>
      <c r="U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>
        <f>IF(A126="","",IF(COUNTBLANK(B126:D126)+COUNTBLANK(F126:G126)+COUNTBLANK(L126)+COUNTBLANK(Q126)=0,"Complete","Missing "&amp;(COUNTBLANK(B126:D126)+COUNTBLANK(F126:G126)+COUNTBLANK(L126)+COUNTBLANK(Q126))&amp;" required"))</f>
        <v/>
      </c>
      <c r="U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>
        <f>IF(A127="","",IF(COUNTBLANK(B127:D127)+COUNTBLANK(F127:G127)+COUNTBLANK(L127)+COUNTBLANK(Q127)=0,"Complete","Missing "&amp;(COUNTBLANK(B127:D127)+COUNTBLANK(F127:G127)+COUNTBLANK(L127)+COUNTBLANK(Q127))&amp;" required"))</f>
        <v/>
      </c>
      <c r="U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>
        <f>IF(A128="","",IF(COUNTBLANK(B128:D128)+COUNTBLANK(F128:G128)+COUNTBLANK(L128)+COUNTBLANK(Q128)=0,"Complete","Missing "&amp;(COUNTBLANK(B128:D128)+COUNTBLANK(F128:G128)+COUNTBLANK(L128)+COUNTBLANK(Q128))&amp;" required"))</f>
        <v/>
      </c>
      <c r="U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>
        <f>IF(A129="","",IF(COUNTBLANK(B129:D129)+COUNTBLANK(F129:G129)+COUNTBLANK(L129)+COUNTBLANK(Q129)=0,"Complete","Missing "&amp;(COUNTBLANK(B129:D129)+COUNTBLANK(F129:G129)+COUNTBLANK(L129)+COUNTBLANK(Q129))&amp;" required"))</f>
        <v/>
      </c>
      <c r="U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>
        <f>IF(A130="","",IF(COUNTBLANK(B130:D130)+COUNTBLANK(F130:G130)+COUNTBLANK(L130)+COUNTBLANK(Q130)=0,"Complete","Missing "&amp;(COUNTBLANK(B130:D130)+COUNTBLANK(F130:G130)+COUNTBLANK(L130)+COUNTBLANK(Q130))&amp;" required"))</f>
        <v/>
      </c>
      <c r="U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>
        <f>IF(A131="","",IF(COUNTBLANK(B131:D131)+COUNTBLANK(F131:G131)+COUNTBLANK(L131)+COUNTBLANK(Q131)=0,"Complete","Missing "&amp;(COUNTBLANK(B131:D131)+COUNTBLANK(F131:G131)+COUNTBLANK(L131)+COUNTBLANK(Q131))&amp;" required"))</f>
        <v/>
      </c>
      <c r="U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>
        <f>IF(A132="","",IF(COUNTBLANK(B132:D132)+COUNTBLANK(F132:G132)+COUNTBLANK(L132)+COUNTBLANK(Q132)=0,"Complete","Missing "&amp;(COUNTBLANK(B132:D132)+COUNTBLANK(F132:G132)+COUNTBLANK(L132)+COUNTBLANK(Q132))&amp;" required"))</f>
        <v/>
      </c>
      <c r="U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>
        <f>IF(A133="","",IF(COUNTBLANK(B133:D133)+COUNTBLANK(F133:G133)+COUNTBLANK(L133)+COUNTBLANK(Q133)=0,"Complete","Missing "&amp;(COUNTBLANK(B133:D133)+COUNTBLANK(F133:G133)+COUNTBLANK(L133)+COUNTBLANK(Q133))&amp;" required"))</f>
        <v/>
      </c>
      <c r="U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>
        <f>IF(A134="","",IF(COUNTBLANK(B134:D134)+COUNTBLANK(F134:G134)+COUNTBLANK(L134)+COUNTBLANK(Q134)=0,"Complete","Missing "&amp;(COUNTBLANK(B134:D134)+COUNTBLANK(F134:G134)+COUNTBLANK(L134)+COUNTBLANK(Q134))&amp;" required"))</f>
        <v/>
      </c>
      <c r="U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>
        <f>IF(A135="","",IF(COUNTBLANK(B135:D135)+COUNTBLANK(F135:G135)+COUNTBLANK(L135)+COUNTBLANK(Q135)=0,"Complete","Missing "&amp;(COUNTBLANK(B135:D135)+COUNTBLANK(F135:G135)+COUNTBLANK(L135)+COUNTBLANK(Q135))&amp;" required"))</f>
        <v/>
      </c>
      <c r="U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>
        <f>IF(A136="","",IF(COUNTBLANK(B136:D136)+COUNTBLANK(F136:G136)+COUNTBLANK(L136)+COUNTBLANK(Q136)=0,"Complete","Missing "&amp;(COUNTBLANK(B136:D136)+COUNTBLANK(F136:G136)+COUNTBLANK(L136)+COUNTBLANK(Q136))&amp;" required"))</f>
        <v/>
      </c>
      <c r="U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>
        <f>IF(A137="","",IF(COUNTBLANK(B137:D137)+COUNTBLANK(F137:G137)+COUNTBLANK(L137)+COUNTBLANK(Q137)=0,"Complete","Missing "&amp;(COUNTBLANK(B137:D137)+COUNTBLANK(F137:G137)+COUNTBLANK(L137)+COUNTBLANK(Q137))&amp;" required"))</f>
        <v/>
      </c>
      <c r="U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>
        <f>IF(A138="","",IF(COUNTBLANK(B138:D138)+COUNTBLANK(F138:G138)+COUNTBLANK(L138)+COUNTBLANK(Q138)=0,"Complete","Missing "&amp;(COUNTBLANK(B138:D138)+COUNTBLANK(F138:G138)+COUNTBLANK(L138)+COUNTBLANK(Q138))&amp;" required"))</f>
        <v/>
      </c>
      <c r="U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>
        <f>IF(A139="","",IF(COUNTBLANK(B139:D139)+COUNTBLANK(F139:G139)+COUNTBLANK(L139)+COUNTBLANK(Q139)=0,"Complete","Missing "&amp;(COUNTBLANK(B139:D139)+COUNTBLANK(F139:G139)+COUNTBLANK(L139)+COUNTBLANK(Q139))&amp;" required"))</f>
        <v/>
      </c>
      <c r="U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>
        <f>IF(A140="","",IF(COUNTBLANK(B140:D140)+COUNTBLANK(F140:G140)+COUNTBLANK(L140)+COUNTBLANK(Q140)=0,"Complete","Missing "&amp;(COUNTBLANK(B140:D140)+COUNTBLANK(F140:G140)+COUNTBLANK(L140)+COUNTBLANK(Q140))&amp;" required"))</f>
        <v/>
      </c>
      <c r="U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>
        <f>IF(A141="","",IF(COUNTBLANK(B141:D141)+COUNTBLANK(F141:G141)+COUNTBLANK(L141)+COUNTBLANK(Q141)=0,"Complete","Missing "&amp;(COUNTBLANK(B141:D141)+COUNTBLANK(F141:G141)+COUNTBLANK(L141)+COUNTBLANK(Q141))&amp;" required"))</f>
        <v/>
      </c>
      <c r="U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>
        <f>IF(A142="","",IF(COUNTBLANK(B142:D142)+COUNTBLANK(F142:G142)+COUNTBLANK(L142)+COUNTBLANK(Q142)=0,"Complete","Missing "&amp;(COUNTBLANK(B142:D142)+COUNTBLANK(F142:G142)+COUNTBLANK(L142)+COUNTBLANK(Q142))&amp;" required"))</f>
        <v/>
      </c>
      <c r="U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>
        <f>IF(A143="","",IF(COUNTBLANK(B143:D143)+COUNTBLANK(F143:G143)+COUNTBLANK(L143)+COUNTBLANK(Q143)=0,"Complete","Missing "&amp;(COUNTBLANK(B143:D143)+COUNTBLANK(F143:G143)+COUNTBLANK(L143)+COUNTBLANK(Q143))&amp;" required"))</f>
        <v/>
      </c>
      <c r="U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>
        <f>IF(A144="","",IF(COUNTBLANK(B144:D144)+COUNTBLANK(F144:G144)+COUNTBLANK(L144)+COUNTBLANK(Q144)=0,"Complete","Missing "&amp;(COUNTBLANK(B144:D144)+COUNTBLANK(F144:G144)+COUNTBLANK(L144)+COUNTBLANK(Q144))&amp;" required"))</f>
        <v/>
      </c>
      <c r="U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>
        <f>IF(A145="","",IF(COUNTBLANK(B145:D145)+COUNTBLANK(F145:G145)+COUNTBLANK(L145)+COUNTBLANK(Q145)=0,"Complete","Missing "&amp;(COUNTBLANK(B145:D145)+COUNTBLANK(F145:G145)+COUNTBLANK(L145)+COUNTBLANK(Q145))&amp;" required"))</f>
        <v/>
      </c>
      <c r="U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>
        <f>IF(A146="","",IF(COUNTBLANK(B146:D146)+COUNTBLANK(F146:G146)+COUNTBLANK(L146)+COUNTBLANK(Q146)=0,"Complete","Missing "&amp;(COUNTBLANK(B146:D146)+COUNTBLANK(F146:G146)+COUNTBLANK(L146)+COUNTBLANK(Q146))&amp;" required"))</f>
        <v/>
      </c>
      <c r="U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>
        <f>IF(A147="","",IF(COUNTBLANK(B147:D147)+COUNTBLANK(F147:G147)+COUNTBLANK(L147)+COUNTBLANK(Q147)=0,"Complete","Missing "&amp;(COUNTBLANK(B147:D147)+COUNTBLANK(F147:G147)+COUNTBLANK(L147)+COUNTBLANK(Q147))&amp;" required"))</f>
        <v/>
      </c>
      <c r="U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>
        <f>IF(A148="","",IF(COUNTBLANK(B148:D148)+COUNTBLANK(F148:G148)+COUNTBLANK(L148)+COUNTBLANK(Q148)=0,"Complete","Missing "&amp;(COUNTBLANK(B148:D148)+COUNTBLANK(F148:G148)+COUNTBLANK(L148)+COUNTBLANK(Q148))&amp;" required"))</f>
        <v/>
      </c>
      <c r="U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>
        <f>IF(A149="","",IF(COUNTBLANK(B149:D149)+COUNTBLANK(F149:G149)+COUNTBLANK(L149)+COUNTBLANK(Q149)=0,"Complete","Missing "&amp;(COUNTBLANK(B149:D149)+COUNTBLANK(F149:G149)+COUNTBLANK(L149)+COUNTBLANK(Q149))&amp;" required"))</f>
        <v/>
      </c>
      <c r="U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>
        <f>IF(A150="","",IF(COUNTBLANK(B150:D150)+COUNTBLANK(F150:G150)+COUNTBLANK(L150)+COUNTBLANK(Q150)=0,"Complete","Missing "&amp;(COUNTBLANK(B150:D150)+COUNTBLANK(F150:G150)+COUNTBLANK(L150)+COUNTBLANK(Q150))&amp;" required"))</f>
        <v/>
      </c>
      <c r="U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>
        <f>IF(A151="","",IF(COUNTBLANK(B151:D151)+COUNTBLANK(F151:G151)+COUNTBLANK(L151)+COUNTBLANK(Q151)=0,"Complete","Missing "&amp;(COUNTBLANK(B151:D151)+COUNTBLANK(F151:G151)+COUNTBLANK(L151)+COUNTBLANK(Q151))&amp;" required"))</f>
        <v/>
      </c>
      <c r="U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>
        <f>IF(A152="","",IF(COUNTBLANK(B152:D152)+COUNTBLANK(F152:G152)+COUNTBLANK(L152)+COUNTBLANK(Q152)=0,"Complete","Missing "&amp;(COUNTBLANK(B152:D152)+COUNTBLANK(F152:G152)+COUNTBLANK(L152)+COUNTBLANK(Q152))&amp;" required"))</f>
        <v/>
      </c>
      <c r="U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>
        <f>IF(A153="","",IF(COUNTBLANK(B153:D153)+COUNTBLANK(F153:G153)+COUNTBLANK(L153)+COUNTBLANK(Q153)=0,"Complete","Missing "&amp;(COUNTBLANK(B153:D153)+COUNTBLANK(F153:G153)+COUNTBLANK(L153)+COUNTBLANK(Q153))&amp;" required"))</f>
        <v/>
      </c>
      <c r="U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>
        <f>IF(A154="","",IF(COUNTBLANK(B154:D154)+COUNTBLANK(F154:G154)+COUNTBLANK(L154)+COUNTBLANK(Q154)=0,"Complete","Missing "&amp;(COUNTBLANK(B154:D154)+COUNTBLANK(F154:G154)+COUNTBLANK(L154)+COUNTBLANK(Q154))&amp;" required"))</f>
        <v/>
      </c>
      <c r="U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>
        <f>IF(A155="","",IF(COUNTBLANK(B155:D155)+COUNTBLANK(F155:G155)+COUNTBLANK(L155)+COUNTBLANK(Q155)=0,"Complete","Missing "&amp;(COUNTBLANK(B155:D155)+COUNTBLANK(F155:G155)+COUNTBLANK(L155)+COUNTBLANK(Q155))&amp;" required"))</f>
        <v/>
      </c>
      <c r="U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>
        <f>IF(A156="","",IF(COUNTBLANK(B156:D156)+COUNTBLANK(F156:G156)+COUNTBLANK(L156)+COUNTBLANK(Q156)=0,"Complete","Missing "&amp;(COUNTBLANK(B156:D156)+COUNTBLANK(F156:G156)+COUNTBLANK(L156)+COUNTBLANK(Q156))&amp;" required"))</f>
        <v/>
      </c>
      <c r="U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>
        <f>IF(A157="","",IF(COUNTBLANK(B157:D157)+COUNTBLANK(F157:G157)+COUNTBLANK(L157)+COUNTBLANK(Q157)=0,"Complete","Missing "&amp;(COUNTBLANK(B157:D157)+COUNTBLANK(F157:G157)+COUNTBLANK(L157)+COUNTBLANK(Q157))&amp;" required"))</f>
        <v/>
      </c>
      <c r="U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>
        <f>IF(A158="","",IF(COUNTBLANK(B158:D158)+COUNTBLANK(F158:G158)+COUNTBLANK(L158)+COUNTBLANK(Q158)=0,"Complete","Missing "&amp;(COUNTBLANK(B158:D158)+COUNTBLANK(F158:G158)+COUNTBLANK(L158)+COUNTBLANK(Q158))&amp;" required"))</f>
        <v/>
      </c>
      <c r="U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>
        <f>IF(A159="","",IF(COUNTBLANK(B159:D159)+COUNTBLANK(F159:G159)+COUNTBLANK(L159)+COUNTBLANK(Q159)=0,"Complete","Missing "&amp;(COUNTBLANK(B159:D159)+COUNTBLANK(F159:G159)+COUNTBLANK(L159)+COUNTBLANK(Q159))&amp;" required"))</f>
        <v/>
      </c>
      <c r="U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>
        <f>IF(A160="","",IF(COUNTBLANK(B160:D160)+COUNTBLANK(F160:G160)+COUNTBLANK(L160)+COUNTBLANK(Q160)=0,"Complete","Missing "&amp;(COUNTBLANK(B160:D160)+COUNTBLANK(F160:G160)+COUNTBLANK(L160)+COUNTBLANK(Q160))&amp;" required"))</f>
        <v/>
      </c>
      <c r="U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>
        <f>IF(A161="","",IF(COUNTBLANK(B161:D161)+COUNTBLANK(F161:G161)+COUNTBLANK(L161)+COUNTBLANK(Q161)=0,"Complete","Missing "&amp;(COUNTBLANK(B161:D161)+COUNTBLANK(F161:G161)+COUNTBLANK(L161)+COUNTBLANK(Q161))&amp;" required"))</f>
        <v/>
      </c>
      <c r="U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>
        <f>IF(A162="","",IF(COUNTBLANK(B162:D162)+COUNTBLANK(F162:G162)+COUNTBLANK(L162)+COUNTBLANK(Q162)=0,"Complete","Missing "&amp;(COUNTBLANK(B162:D162)+COUNTBLANK(F162:G162)+COUNTBLANK(L162)+COUNTBLANK(Q162))&amp;" required"))</f>
        <v/>
      </c>
      <c r="U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>
        <f>IF(A163="","",IF(COUNTBLANK(B163:D163)+COUNTBLANK(F163:G163)+COUNTBLANK(L163)+COUNTBLANK(Q163)=0,"Complete","Missing "&amp;(COUNTBLANK(B163:D163)+COUNTBLANK(F163:G163)+COUNTBLANK(L163)+COUNTBLANK(Q163))&amp;" required"))</f>
        <v/>
      </c>
      <c r="U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>
        <f>IF(A164="","",IF(COUNTBLANK(B164:D164)+COUNTBLANK(F164:G164)+COUNTBLANK(L164)+COUNTBLANK(Q164)=0,"Complete","Missing "&amp;(COUNTBLANK(B164:D164)+COUNTBLANK(F164:G164)+COUNTBLANK(L164)+COUNTBLANK(Q164))&amp;" required"))</f>
        <v/>
      </c>
      <c r="U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>
        <f>IF(A165="","",IF(COUNTBLANK(B165:D165)+COUNTBLANK(F165:G165)+COUNTBLANK(L165)+COUNTBLANK(Q165)=0,"Complete","Missing "&amp;(COUNTBLANK(B165:D165)+COUNTBLANK(F165:G165)+COUNTBLANK(L165)+COUNTBLANK(Q165))&amp;" required"))</f>
        <v/>
      </c>
      <c r="U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>
        <f>IF(A166="","",IF(COUNTBLANK(B166:D166)+COUNTBLANK(F166:G166)+COUNTBLANK(L166)+COUNTBLANK(Q166)=0,"Complete","Missing "&amp;(COUNTBLANK(B166:D166)+COUNTBLANK(F166:G166)+COUNTBLANK(L166)+COUNTBLANK(Q166))&amp;" required"))</f>
        <v/>
      </c>
      <c r="U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>
        <f>IF(A167="","",IF(COUNTBLANK(B167:D167)+COUNTBLANK(F167:G167)+COUNTBLANK(L167)+COUNTBLANK(Q167)=0,"Complete","Missing "&amp;(COUNTBLANK(B167:D167)+COUNTBLANK(F167:G167)+COUNTBLANK(L167)+COUNTBLANK(Q167))&amp;" required"))</f>
        <v/>
      </c>
      <c r="U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>
        <f>IF(A168="","",IF(COUNTBLANK(B168:D168)+COUNTBLANK(F168:G168)+COUNTBLANK(L168)+COUNTBLANK(Q168)=0,"Complete","Missing "&amp;(COUNTBLANK(B168:D168)+COUNTBLANK(F168:G168)+COUNTBLANK(L168)+COUNTBLANK(Q168))&amp;" required"))</f>
        <v/>
      </c>
      <c r="U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>
        <f>IF(A169="","",IF(COUNTBLANK(B169:D169)+COUNTBLANK(F169:G169)+COUNTBLANK(L169)+COUNTBLANK(Q169)=0,"Complete","Missing "&amp;(COUNTBLANK(B169:D169)+COUNTBLANK(F169:G169)+COUNTBLANK(L169)+COUNTBLANK(Q169))&amp;" required"))</f>
        <v/>
      </c>
      <c r="U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>
        <f>IF(A170="","",IF(COUNTBLANK(B170:D170)+COUNTBLANK(F170:G170)+COUNTBLANK(L170)+COUNTBLANK(Q170)=0,"Complete","Missing "&amp;(COUNTBLANK(B170:D170)+COUNTBLANK(F170:G170)+COUNTBLANK(L170)+COUNTBLANK(Q170))&amp;" required"))</f>
        <v/>
      </c>
      <c r="U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>
        <f>IF(A171="","",IF(COUNTBLANK(B171:D171)+COUNTBLANK(F171:G171)+COUNTBLANK(L171)+COUNTBLANK(Q171)=0,"Complete","Missing "&amp;(COUNTBLANK(B171:D171)+COUNTBLANK(F171:G171)+COUNTBLANK(L171)+COUNTBLANK(Q171))&amp;" required"))</f>
        <v/>
      </c>
      <c r="U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>
        <f>IF(A172="","",IF(COUNTBLANK(B172:D172)+COUNTBLANK(F172:G172)+COUNTBLANK(L172)+COUNTBLANK(Q172)=0,"Complete","Missing "&amp;(COUNTBLANK(B172:D172)+COUNTBLANK(F172:G172)+COUNTBLANK(L172)+COUNTBLANK(Q172))&amp;" required"))</f>
        <v/>
      </c>
      <c r="U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>
        <f>IF(A173="","",IF(COUNTBLANK(B173:D173)+COUNTBLANK(F173:G173)+COUNTBLANK(L173)+COUNTBLANK(Q173)=0,"Complete","Missing "&amp;(COUNTBLANK(B173:D173)+COUNTBLANK(F173:G173)+COUNTBLANK(L173)+COUNTBLANK(Q173))&amp;" required"))</f>
        <v/>
      </c>
      <c r="U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>
        <f>IF(A174="","",IF(COUNTBLANK(B174:D174)+COUNTBLANK(F174:G174)+COUNTBLANK(L174)+COUNTBLANK(Q174)=0,"Complete","Missing "&amp;(COUNTBLANK(B174:D174)+COUNTBLANK(F174:G174)+COUNTBLANK(L174)+COUNTBLANK(Q174))&amp;" required"))</f>
        <v/>
      </c>
      <c r="U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>
        <f>IF(A175="","",IF(COUNTBLANK(B175:D175)+COUNTBLANK(F175:G175)+COUNTBLANK(L175)+COUNTBLANK(Q175)=0,"Complete","Missing "&amp;(COUNTBLANK(B175:D175)+COUNTBLANK(F175:G175)+COUNTBLANK(L175)+COUNTBLANK(Q175))&amp;" required"))</f>
        <v/>
      </c>
      <c r="U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>
        <f>IF(A176="","",IF(COUNTBLANK(B176:D176)+COUNTBLANK(F176:G176)+COUNTBLANK(L176)+COUNTBLANK(Q176)=0,"Complete","Missing "&amp;(COUNTBLANK(B176:D176)+COUNTBLANK(F176:G176)+COUNTBLANK(L176)+COUNTBLANK(Q176))&amp;" required"))</f>
        <v/>
      </c>
      <c r="U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>
        <f>IF(A177="","",IF(COUNTBLANK(B177:D177)+COUNTBLANK(F177:G177)+COUNTBLANK(L177)+COUNTBLANK(Q177)=0,"Complete","Missing "&amp;(COUNTBLANK(B177:D177)+COUNTBLANK(F177:G177)+COUNTBLANK(L177)+COUNTBLANK(Q177))&amp;" required"))</f>
        <v/>
      </c>
      <c r="U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>
        <f>IF(A178="","",IF(COUNTBLANK(B178:D178)+COUNTBLANK(F178:G178)+COUNTBLANK(L178)+COUNTBLANK(Q178)=0,"Complete","Missing "&amp;(COUNTBLANK(B178:D178)+COUNTBLANK(F178:G178)+COUNTBLANK(L178)+COUNTBLANK(Q178))&amp;" required"))</f>
        <v/>
      </c>
      <c r="U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>
        <f>IF(A179="","",IF(COUNTBLANK(B179:D179)+COUNTBLANK(F179:G179)+COUNTBLANK(L179)+COUNTBLANK(Q179)=0,"Complete","Missing "&amp;(COUNTBLANK(B179:D179)+COUNTBLANK(F179:G179)+COUNTBLANK(L179)+COUNTBLANK(Q179))&amp;" required"))</f>
        <v/>
      </c>
      <c r="U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>
        <f>IF(A180="","",IF(COUNTBLANK(B180:D180)+COUNTBLANK(F180:G180)+COUNTBLANK(L180)+COUNTBLANK(Q180)=0,"Complete","Missing "&amp;(COUNTBLANK(B180:D180)+COUNTBLANK(F180:G180)+COUNTBLANK(L180)+COUNTBLANK(Q180))&amp;" required"))</f>
        <v/>
      </c>
      <c r="U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>
        <f>IF(A181="","",IF(COUNTBLANK(B181:D181)+COUNTBLANK(F181:G181)+COUNTBLANK(L181)+COUNTBLANK(Q181)=0,"Complete","Missing "&amp;(COUNTBLANK(B181:D181)+COUNTBLANK(F181:G181)+COUNTBLANK(L181)+COUNTBLANK(Q181))&amp;" required"))</f>
        <v/>
      </c>
      <c r="U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>
        <f>IF(A182="","",IF(COUNTBLANK(B182:D182)+COUNTBLANK(F182:G182)+COUNTBLANK(L182)+COUNTBLANK(Q182)=0,"Complete","Missing "&amp;(COUNTBLANK(B182:D182)+COUNTBLANK(F182:G182)+COUNTBLANK(L182)+COUNTBLANK(Q182))&amp;" required"))</f>
        <v/>
      </c>
      <c r="U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>
        <f>IF(A183="","",IF(COUNTBLANK(B183:D183)+COUNTBLANK(F183:G183)+COUNTBLANK(L183)+COUNTBLANK(Q183)=0,"Complete","Missing "&amp;(COUNTBLANK(B183:D183)+COUNTBLANK(F183:G183)+COUNTBLANK(L183)+COUNTBLANK(Q183))&amp;" required"))</f>
        <v/>
      </c>
      <c r="U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>
        <f>IF(A184="","",IF(COUNTBLANK(B184:D184)+COUNTBLANK(F184:G184)+COUNTBLANK(L184)+COUNTBLANK(Q184)=0,"Complete","Missing "&amp;(COUNTBLANK(B184:D184)+COUNTBLANK(F184:G184)+COUNTBLANK(L184)+COUNTBLANK(Q184))&amp;" required"))</f>
        <v/>
      </c>
      <c r="U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>
        <f>IF(A185="","",IF(COUNTBLANK(B185:D185)+COUNTBLANK(F185:G185)+COUNTBLANK(L185)+COUNTBLANK(Q185)=0,"Complete","Missing "&amp;(COUNTBLANK(B185:D185)+COUNTBLANK(F185:G185)+COUNTBLANK(L185)+COUNTBLANK(Q185))&amp;" required"))</f>
        <v/>
      </c>
      <c r="U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>
        <f>IF(A186="","",IF(COUNTBLANK(B186:D186)+COUNTBLANK(F186:G186)+COUNTBLANK(L186)+COUNTBLANK(Q186)=0,"Complete","Missing "&amp;(COUNTBLANK(B186:D186)+COUNTBLANK(F186:G186)+COUNTBLANK(L186)+COUNTBLANK(Q186))&amp;" required"))</f>
        <v/>
      </c>
      <c r="U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>
        <f>IF(A187="","",IF(COUNTBLANK(B187:D187)+COUNTBLANK(F187:G187)+COUNTBLANK(L187)+COUNTBLANK(Q187)=0,"Complete","Missing "&amp;(COUNTBLANK(B187:D187)+COUNTBLANK(F187:G187)+COUNTBLANK(L187)+COUNTBLANK(Q187))&amp;" required"))</f>
        <v/>
      </c>
      <c r="U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>
        <f>IF(A188="","",IF(COUNTBLANK(B188:D188)+COUNTBLANK(F188:G188)+COUNTBLANK(L188)+COUNTBLANK(Q188)=0,"Complete","Missing "&amp;(COUNTBLANK(B188:D188)+COUNTBLANK(F188:G188)+COUNTBLANK(L188)+COUNTBLANK(Q188))&amp;" required"))</f>
        <v/>
      </c>
      <c r="U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>
        <f>IF(A189="","",IF(COUNTBLANK(B189:D189)+COUNTBLANK(F189:G189)+COUNTBLANK(L189)+COUNTBLANK(Q189)=0,"Complete","Missing "&amp;(COUNTBLANK(B189:D189)+COUNTBLANK(F189:G189)+COUNTBLANK(L189)+COUNTBLANK(Q189))&amp;" required"))</f>
        <v/>
      </c>
      <c r="U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>
        <f>IF(A190="","",IF(COUNTBLANK(B190:D190)+COUNTBLANK(F190:G190)+COUNTBLANK(L190)+COUNTBLANK(Q190)=0,"Complete","Missing "&amp;(COUNTBLANK(B190:D190)+COUNTBLANK(F190:G190)+COUNTBLANK(L190)+COUNTBLANK(Q190))&amp;" required"))</f>
        <v/>
      </c>
      <c r="U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>
        <f>IF(A191="","",IF(COUNTBLANK(B191:D191)+COUNTBLANK(F191:G191)+COUNTBLANK(L191)+COUNTBLANK(Q191)=0,"Complete","Missing "&amp;(COUNTBLANK(B191:D191)+COUNTBLANK(F191:G191)+COUNTBLANK(L191)+COUNTBLANK(Q191))&amp;" required"))</f>
        <v/>
      </c>
      <c r="U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>
        <f>IF(A192="","",IF(COUNTBLANK(B192:D192)+COUNTBLANK(F192:G192)+COUNTBLANK(L192)+COUNTBLANK(Q192)=0,"Complete","Missing "&amp;(COUNTBLANK(B192:D192)+COUNTBLANK(F192:G192)+COUNTBLANK(L192)+COUNTBLANK(Q192))&amp;" required"))</f>
        <v/>
      </c>
      <c r="U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>
        <f>IF(A193="","",IF(COUNTBLANK(B193:D193)+COUNTBLANK(F193:G193)+COUNTBLANK(L193)+COUNTBLANK(Q193)=0,"Complete","Missing "&amp;(COUNTBLANK(B193:D193)+COUNTBLANK(F193:G193)+COUNTBLANK(L193)+COUNTBLANK(Q193))&amp;" required"))</f>
        <v/>
      </c>
      <c r="U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>
        <f>IF(A194="","",IF(COUNTBLANK(B194:D194)+COUNTBLANK(F194:G194)+COUNTBLANK(L194)+COUNTBLANK(Q194)=0,"Complete","Missing "&amp;(COUNTBLANK(B194:D194)+COUNTBLANK(F194:G194)+COUNTBLANK(L194)+COUNTBLANK(Q194))&amp;" required"))</f>
        <v/>
      </c>
      <c r="U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>
        <f>IF(A195="","",IF(COUNTBLANK(B195:D195)+COUNTBLANK(F195:G195)+COUNTBLANK(L195)+COUNTBLANK(Q195)=0,"Complete","Missing "&amp;(COUNTBLANK(B195:D195)+COUNTBLANK(F195:G195)+COUNTBLANK(L195)+COUNTBLANK(Q195))&amp;" required"))</f>
        <v/>
      </c>
      <c r="U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>
        <f>IF(A196="","",IF(COUNTBLANK(B196:D196)+COUNTBLANK(F196:G196)+COUNTBLANK(L196)+COUNTBLANK(Q196)=0,"Complete","Missing "&amp;(COUNTBLANK(B196:D196)+COUNTBLANK(F196:G196)+COUNTBLANK(L196)+COUNTBLANK(Q196))&amp;" required"))</f>
        <v/>
      </c>
      <c r="U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>
        <f>IF(A197="","",IF(COUNTBLANK(B197:D197)+COUNTBLANK(F197:G197)+COUNTBLANK(L197)+COUNTBLANK(Q197)=0,"Complete","Missing "&amp;(COUNTBLANK(B197:D197)+COUNTBLANK(F197:G197)+COUNTBLANK(L197)+COUNTBLANK(Q197))&amp;" required"))</f>
        <v/>
      </c>
      <c r="U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>
        <f>IF(A198="","",IF(COUNTBLANK(B198:D198)+COUNTBLANK(F198:G198)+COUNTBLANK(L198)+COUNTBLANK(Q198)=0,"Complete","Missing "&amp;(COUNTBLANK(B198:D198)+COUNTBLANK(F198:G198)+COUNTBLANK(L198)+COUNTBLANK(Q198))&amp;" required"))</f>
        <v/>
      </c>
      <c r="U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>
        <f>IF(A199="","",IF(COUNTBLANK(B199:D199)+COUNTBLANK(F199:G199)+COUNTBLANK(L199)+COUNTBLANK(Q199)=0,"Complete","Missing "&amp;(COUNTBLANK(B199:D199)+COUNTBLANK(F199:G199)+COUNTBLANK(L199)+COUNTBLANK(Q199))&amp;" required"))</f>
        <v/>
      </c>
      <c r="U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>
        <f>IF(A200="","",IF(COUNTBLANK(B200:D200)+COUNTBLANK(F200:G200)+COUNTBLANK(L200)+COUNTBLANK(Q200)=0,"Complete","Missing "&amp;(COUNTBLANK(B200:D200)+COUNTBLANK(F200:G200)+COUNTBLANK(L200)+COUNTBLANK(Q200))&amp;" required"))</f>
        <v/>
      </c>
      <c r="U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>
        <f>IF(A201="","",IF(COUNTBLANK(B201:D201)+COUNTBLANK(F201:G201)+COUNTBLANK(L201)+COUNTBLANK(Q201)=0,"Complete","Missing "&amp;(COUNTBLANK(B201:D201)+COUNTBLANK(F201:G201)+COUNTBLANK(L201)+COUNTBLANK(Q201))&amp;" required"))</f>
        <v/>
      </c>
      <c r="U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>
        <f>IF(A202="","",IF(COUNTBLANK(B202:D202)+COUNTBLANK(F202:G202)+COUNTBLANK(L202)+COUNTBLANK(Q202)=0,"Complete","Missing "&amp;(COUNTBLANK(B202:D202)+COUNTBLANK(F202:G202)+COUNTBLANK(L202)+COUNTBLANK(Q202))&amp;" required"))</f>
        <v/>
      </c>
      <c r="U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>
        <f>IF(A203="","",IF(COUNTBLANK(B203:D203)+COUNTBLANK(F203:G203)+COUNTBLANK(L203)+COUNTBLANK(Q203)=0,"Complete","Missing "&amp;(COUNTBLANK(B203:D203)+COUNTBLANK(F203:G203)+COUNTBLANK(L203)+COUNTBLANK(Q203))&amp;" required"))</f>
        <v/>
      </c>
      <c r="U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>
        <f>IF(A204="","",IF(COUNTBLANK(B204:D204)+COUNTBLANK(F204:G204)+COUNTBLANK(L204)+COUNTBLANK(Q204)=0,"Complete","Missing "&amp;(COUNTBLANK(B204:D204)+COUNTBLANK(F204:G204)+COUNTBLANK(L204)+COUNTBLANK(Q204))&amp;" required"))</f>
        <v/>
      </c>
      <c r="U204" s="10" t="n"/>
    </row>
  </sheetData>
  <conditionalFormatting sqref="T5:T204">
    <cfRule type="expression" priority="1" dxfId="0">
      <formula>T5="Complete"</formula>
    </cfRule>
    <cfRule type="expression" priority="2" dxfId="1">
      <formula>LEFT(T5,7)="Missing"</formula>
    </cfRule>
  </conditionalFormatting>
  <dataValidations count="7">
    <dataValidation sqref="C5:C204" showDropDown="0" showInputMessage="0" showErrorMessage="0" allowBlank="1" errorTitle="Not in the list" error="That value is not in the list. Keep it only if you need it." type="list" errorStyle="warning">
      <formula1>=Lists!$A$2:$A$10</formula1>
    </dataValidation>
    <dataValidation sqref="D5:D204" showDropDown="0" showInputMessage="0" showErrorMessage="0" allowBlank="1" errorTitle="Not in the list" error="That value is not in the list. Keep it only if you need it." type="list" errorStyle="warning">
      <formula1>=Lists!$B$2:$B$4</formula1>
    </dataValidation>
    <dataValidation sqref="G5:G204" showDropDown="0" showInputMessage="0" showErrorMessage="0" allowBlank="1" errorTitle="Not in the list" error="That value is not in the list. Keep it only if you need it." type="list" errorStyle="warning">
      <formula1>=Lists!$C$2:$C$7</formula1>
    </dataValidation>
    <dataValidation sqref="J5:J204" showDropDown="0" showInputMessage="0" showErrorMessage="0" allowBlank="1" errorTitle="Not in the list" error="That value is not in the list. Keep it only if you need it." type="list" errorStyle="warning">
      <formula1>=Lists!$D$2:$D$4</formula1>
    </dataValidation>
    <dataValidation sqref="L5:L204" showDropDown="0" showInputMessage="0" showErrorMessage="0" allowBlank="1" errorTitle="Not in the list" error="That value is not in the list. Keep it only if you need it." type="list" errorStyle="warning">
      <formula1>=Lists!$E$2:$E$7</formula1>
    </dataValidation>
    <dataValidation sqref="N5:N204" showDropDown="0" showInputMessage="0" showErrorMessage="0" allowBlank="1" errorTitle="Not in the list" error="That value is not in the list. Keep it only if you need it." type="list" errorStyle="warning">
      <formula1>=Lists!$F$2:$F$5</formula1>
    </dataValidation>
    <dataValidation sqref="Q5:Q204" showDropDown="0" showInputMessage="0" showErrorMessage="0" allowBlank="1" errorTitle="Not in the list" error="That value is not in the list. Keep it only if you need it." type="list" errorStyle="warning">
      <formula1>=Lists!$G$2:$G$4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E9AA7"/>
    <outlinePr summaryBelow="1" summaryRight="1"/>
    <pageSetUpPr/>
  </sheetPr>
  <dimension ref="A1:T2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32" customWidth="1" min="4" max="4"/>
    <col width="30" customWidth="1" min="5" max="5"/>
    <col width="34" customWidth="1" min="6" max="6"/>
    <col width="14" customWidth="1" min="7" max="7"/>
    <col width="24" customWidth="1" min="8" max="8"/>
    <col width="16" customWidth="1" min="9" max="9"/>
    <col width="18" customWidth="1" min="10" max="10"/>
    <col width="32" customWidth="1" min="11" max="11"/>
    <col width="36" customWidth="1" min="12" max="12"/>
    <col width="22" customWidth="1" min="13" max="13"/>
    <col width="20" customWidth="1" min="14" max="14"/>
    <col width="34" customWidth="1" min="15" max="15"/>
    <col width="24" customWidth="1" min="16" max="16"/>
    <col width="16" customWidth="1" min="17" max="17"/>
    <col width="14" customWidth="1" min="18" max="18"/>
    <col width="18" customWidth="1" min="19" max="19"/>
    <col width="36" customWidth="1" min="20" max="20"/>
  </cols>
  <sheetData>
    <row r="1">
      <c r="A1" s="5" t="inlineStr">
        <is>
          <t>2 Tables: what arrives from each source</t>
        </is>
      </c>
    </row>
    <row r="2">
      <c r="A2" s="6" t="inlineStr">
        <is>
          <t>One row per table, file or document type that comes from a source; one source can have many. Say which KPIs each one relates to. For a document (a contract, a notice), name the document type here and say what to take out of it on tab 4.</t>
        </is>
      </c>
    </row>
    <row r="3" ht="36" customHeight="1">
      <c r="A3" s="7" t="inlineStr">
        <is>
          <t>T01, T02 ...</t>
        </is>
      </c>
      <c r="B3" s="7" t="inlineStr">
        <is>
          <t>From tab 1</t>
        </is>
      </c>
      <c r="C3" s="7" t="inlineStr">
        <is>
          <t>Pick one</t>
        </is>
      </c>
      <c r="D3" s="7" t="inlineStr">
        <is>
          <t>As people know it</t>
        </is>
      </c>
      <c r="E3" s="7" t="inlineStr">
        <is>
          <t>KPI IDs from tab 5, separated by commas. Write Unknown if you do not know</t>
        </is>
      </c>
      <c r="F3" s="7" t="inlineStr">
        <is>
          <t>For example one row per account per day</t>
        </is>
      </c>
      <c r="G3" s="7" t="inlineStr">
        <is>
          <t>Pick one</t>
        </is>
      </c>
      <c r="H3" s="7" t="inlineStr">
        <is>
          <t>For example by noon</t>
        </is>
      </c>
      <c r="I3" s="7" t="inlineStr">
        <is>
          <t>Pick one</t>
        </is>
      </c>
      <c r="J3" s="7" t="inlineStr">
        <is>
          <t>For example 24 months</t>
        </is>
      </c>
      <c r="K3" s="7" t="inlineStr">
        <is>
          <t>Schema, path, folder. No passwords</t>
        </is>
      </c>
      <c r="L3" s="7" t="inlineStr">
        <is>
          <t>For example not available on bank holidays</t>
        </is>
      </c>
      <c r="M3" s="7" t="inlineStr">
        <is>
          <t>Can we get to it?</t>
        </is>
      </c>
      <c r="N3" s="7" t="inlineStr">
        <is>
          <t>A date, or leave blank</t>
        </is>
      </c>
      <c r="O3" s="7" t="inlineStr">
        <is>
          <t>What is being done about it</t>
        </is>
      </c>
      <c r="P3" s="7" t="inlineStr">
        <is>
          <t>Stated, guessed or unknown</t>
        </is>
      </c>
      <c r="Q3" s="7" t="inlineStr">
        <is>
          <t>Name</t>
        </is>
      </c>
      <c r="R3" s="7" t="inlineStr">
        <is>
          <t>Date</t>
        </is>
      </c>
      <c r="S3" s="7" t="inlineStr">
        <is>
          <t>Filled in for you</t>
        </is>
      </c>
      <c r="T3" s="7" t="inlineStr">
        <is>
          <t>Anything else</t>
        </is>
      </c>
    </row>
    <row r="4" ht="44" customHeight="1">
      <c r="A4" s="8" t="inlineStr">
        <is>
          <t>Item ID</t>
        </is>
      </c>
      <c r="B4" s="8" t="inlineStr">
        <is>
          <t>Source ID</t>
        </is>
      </c>
      <c r="C4" s="8" t="inlineStr">
        <is>
          <t>Kind</t>
        </is>
      </c>
      <c r="D4" s="8" t="inlineStr">
        <is>
          <t>Name of table, file or document type</t>
        </is>
      </c>
      <c r="E4" s="8" t="inlineStr">
        <is>
          <t>Related KPIs</t>
        </is>
      </c>
      <c r="F4" s="8" t="inlineStr">
        <is>
          <t>What one row or record means</t>
        </is>
      </c>
      <c r="G4" s="8" t="inlineStr">
        <is>
          <t>How often it arrives</t>
        </is>
      </c>
      <c r="H4" s="8" t="inlineStr">
        <is>
          <t>Expected arrival time or SLA</t>
        </is>
      </c>
      <c r="I4" s="8" t="inlineStr">
        <is>
          <t>Update pattern</t>
        </is>
      </c>
      <c r="J4" s="8" t="inlineStr">
        <is>
          <t>History available</t>
        </is>
      </c>
      <c r="K4" s="8" t="inlineStr">
        <is>
          <t>Connection detail for this item</t>
        </is>
      </c>
      <c r="L4" s="8" t="inlineStr">
        <is>
          <t>Cut-off, exceptions or time bounds</t>
        </is>
      </c>
      <c r="M4" s="8" t="inlineStr">
        <is>
          <t>Availability</t>
        </is>
      </c>
      <c r="N4" s="8" t="inlineStr">
        <is>
          <t>Tentative date if not available now</t>
        </is>
      </c>
      <c r="O4" s="8" t="inlineStr">
        <is>
          <t>Next step or project</t>
        </is>
      </c>
      <c r="P4" s="8" t="inlineStr">
        <is>
          <t>How sure are we</t>
        </is>
      </c>
      <c r="Q4" s="8" t="inlineStr">
        <is>
          <t>Confirmed by</t>
        </is>
      </c>
      <c r="R4" s="8" t="inlineStr">
        <is>
          <t>Date confirmed</t>
        </is>
      </c>
      <c r="S4" s="8" t="inlineStr">
        <is>
          <t>Complete?</t>
        </is>
      </c>
      <c r="T4" s="8" t="inlineStr">
        <is>
          <t>Notes</t>
        </is>
      </c>
    </row>
    <row r="5">
      <c r="A5" s="9" t="inlineStr">
        <is>
          <t>T01</t>
        </is>
      </c>
      <c r="B5" s="9" t="inlineStr">
        <is>
          <t>S01</t>
        </is>
      </c>
      <c r="C5" s="9" t="inlineStr">
        <is>
          <t>File</t>
        </is>
      </c>
      <c r="D5" s="9" t="inlineStr">
        <is>
          <t>statement.csv</t>
        </is>
      </c>
      <c r="E5" s="9" t="inlineStr">
        <is>
          <t>K02</t>
        </is>
      </c>
      <c r="F5" s="9" t="inlineStr">
        <is>
          <t>One row per account per day</t>
        </is>
      </c>
      <c r="G5" s="9" t="inlineStr">
        <is>
          <t>Daily</t>
        </is>
      </c>
      <c r="H5" s="9" t="inlineStr">
        <is>
          <t>By noon</t>
        </is>
      </c>
      <c r="I5" s="9" t="inlineStr">
        <is>
          <t>Full replace</t>
        </is>
      </c>
      <c r="J5" s="9" t="inlineStr">
        <is>
          <t>13 months</t>
        </is>
      </c>
      <c r="K5" s="9" t="inlineStr">
        <is>
          <t>Folder Finance/Bank</t>
        </is>
      </c>
      <c r="L5" s="9" t="inlineStr">
        <is>
          <t>No file on bank holidays</t>
        </is>
      </c>
      <c r="M5" s="9" t="inlineStr">
        <is>
          <t>Available now</t>
        </is>
      </c>
      <c r="N5" s="9" t="n"/>
      <c r="O5" s="9" t="n"/>
      <c r="P5" s="9" t="inlineStr">
        <is>
          <t>Stated by a named person</t>
        </is>
      </c>
      <c r="Q5" s="9" t="inlineStr">
        <is>
          <t>Arjun</t>
        </is>
      </c>
      <c r="R5" s="9" t="n"/>
      <c r="S5" s="10">
        <f>IF(A5="","",IF(COUNTBLANK(B5:E5)+COUNTBLANK(G5)+COUNTBLANK(P5)=0,"Complete","Missing "&amp;(COUNTBLANK(B5:E5)+COUNTBLANK(G5)+COUNTBLANK(P5))&amp;" required"))</f>
        <v/>
      </c>
      <c r="T5" s="9" t="inlineStr">
        <is>
          <t>EXAMPLE ROW: delete before use</t>
        </is>
      </c>
    </row>
    <row r="6">
      <c r="A6" s="9" t="inlineStr">
        <is>
          <t>T02</t>
        </is>
      </c>
      <c r="B6" s="9" t="inlineStr">
        <is>
          <t>S02</t>
        </is>
      </c>
      <c r="C6" s="9" t="inlineStr">
        <is>
          <t>Document type</t>
        </is>
      </c>
      <c r="D6" s="9" t="inlineStr">
        <is>
          <t>Capital call notice</t>
        </is>
      </c>
      <c r="E6" s="9" t="inlineStr">
        <is>
          <t>K01</t>
        </is>
      </c>
      <c r="F6" s="9" t="inlineStr">
        <is>
          <t>One document per call</t>
        </is>
      </c>
      <c r="G6" s="9" t="inlineStr">
        <is>
          <t>Ad hoc</t>
        </is>
      </c>
      <c r="H6" s="9" t="inlineStr">
        <is>
          <t>No fixed time</t>
        </is>
      </c>
      <c r="I6" s="9" t="inlineStr">
        <is>
          <t>Append only</t>
        </is>
      </c>
      <c r="J6" s="9" t="inlineStr">
        <is>
          <t>Not sure</t>
        </is>
      </c>
      <c r="K6" s="9" t="inlineStr">
        <is>
          <t>Shared mailbox</t>
        </is>
      </c>
      <c r="L6" s="9" t="inlineStr">
        <is>
          <t>Some managers send two notices for one call</t>
        </is>
      </c>
      <c r="M6" s="9" t="inlineStr">
        <is>
          <t>Can be made available</t>
        </is>
      </c>
      <c r="N6" s="9" t="n"/>
      <c r="O6" s="9" t="inlineStr">
        <is>
          <t>Set up a forwarding rule</t>
        </is>
      </c>
      <c r="P6" s="9" t="inlineStr">
        <is>
          <t>Guessed</t>
        </is>
      </c>
      <c r="Q6" s="9" t="n"/>
      <c r="R6" s="9" t="n"/>
      <c r="S6" s="10">
        <f>IF(A6="","",IF(COUNTBLANK(B6:E6)+COUNTBLANK(G6)+COUNTBLANK(P6)=0,"Complete","Missing "&amp;(COUNTBLANK(B6:E6)+COUNTBLANK(G6)+COUNTBLANK(P6))&amp;" required"))</f>
        <v/>
      </c>
      <c r="T6" s="9" t="inlineStr">
        <is>
          <t>EXAMPLE ROW: delete before use</t>
        </is>
      </c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>
        <f>IF(A7="","",IF(COUNTBLANK(B7:E7)+COUNTBLANK(G7)+COUNTBLANK(P7)=0,"Complete","Missing "&amp;(COUNTBLANK(B7:E7)+COUNTBLANK(G7)+COUNTBLANK(P7))&amp;" required"))</f>
        <v/>
      </c>
      <c r="T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>
        <f>IF(A8="","",IF(COUNTBLANK(B8:E8)+COUNTBLANK(G8)+COUNTBLANK(P8)=0,"Complete","Missing "&amp;(COUNTBLANK(B8:E8)+COUNTBLANK(G8)+COUNTBLANK(P8))&amp;" required"))</f>
        <v/>
      </c>
      <c r="T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>
        <f>IF(A9="","",IF(COUNTBLANK(B9:E9)+COUNTBLANK(G9)+COUNTBLANK(P9)=0,"Complete","Missing "&amp;(COUNTBLANK(B9:E9)+COUNTBLANK(G9)+COUNTBLANK(P9))&amp;" required"))</f>
        <v/>
      </c>
      <c r="T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>
        <f>IF(A10="","",IF(COUNTBLANK(B10:E10)+COUNTBLANK(G10)+COUNTBLANK(P10)=0,"Complete","Missing "&amp;(COUNTBLANK(B10:E10)+COUNTBLANK(G10)+COUNTBLANK(P10))&amp;" required"))</f>
        <v/>
      </c>
      <c r="T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>
        <f>IF(A11="","",IF(COUNTBLANK(B11:E11)+COUNTBLANK(G11)+COUNTBLANK(P11)=0,"Complete","Missing "&amp;(COUNTBLANK(B11:E11)+COUNTBLANK(G11)+COUNTBLANK(P11))&amp;" required"))</f>
        <v/>
      </c>
      <c r="T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>
        <f>IF(A12="","",IF(COUNTBLANK(B12:E12)+COUNTBLANK(G12)+COUNTBLANK(P12)=0,"Complete","Missing "&amp;(COUNTBLANK(B12:E12)+COUNTBLANK(G12)+COUNTBLANK(P12))&amp;" required"))</f>
        <v/>
      </c>
      <c r="T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>
        <f>IF(A13="","",IF(COUNTBLANK(B13:E13)+COUNTBLANK(G13)+COUNTBLANK(P13)=0,"Complete","Missing "&amp;(COUNTBLANK(B13:E13)+COUNTBLANK(G13)+COUNTBLANK(P13))&amp;" required"))</f>
        <v/>
      </c>
      <c r="T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>
        <f>IF(A14="","",IF(COUNTBLANK(B14:E14)+COUNTBLANK(G14)+COUNTBLANK(P14)=0,"Complete","Missing "&amp;(COUNTBLANK(B14:E14)+COUNTBLANK(G14)+COUNTBLANK(P14))&amp;" required"))</f>
        <v/>
      </c>
      <c r="T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>
        <f>IF(A15="","",IF(COUNTBLANK(B15:E15)+COUNTBLANK(G15)+COUNTBLANK(P15)=0,"Complete","Missing "&amp;(COUNTBLANK(B15:E15)+COUNTBLANK(G15)+COUNTBLANK(P15))&amp;" required"))</f>
        <v/>
      </c>
      <c r="T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>
        <f>IF(A16="","",IF(COUNTBLANK(B16:E16)+COUNTBLANK(G16)+COUNTBLANK(P16)=0,"Complete","Missing "&amp;(COUNTBLANK(B16:E16)+COUNTBLANK(G16)+COUNTBLANK(P16))&amp;" required"))</f>
        <v/>
      </c>
      <c r="T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>
        <f>IF(A17="","",IF(COUNTBLANK(B17:E17)+COUNTBLANK(G17)+COUNTBLANK(P17)=0,"Complete","Missing "&amp;(COUNTBLANK(B17:E17)+COUNTBLANK(G17)+COUNTBLANK(P17))&amp;" required"))</f>
        <v/>
      </c>
      <c r="T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>
        <f>IF(A18="","",IF(COUNTBLANK(B18:E18)+COUNTBLANK(G18)+COUNTBLANK(P18)=0,"Complete","Missing "&amp;(COUNTBLANK(B18:E18)+COUNTBLANK(G18)+COUNTBLANK(P18))&amp;" required"))</f>
        <v/>
      </c>
      <c r="T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>
        <f>IF(A19="","",IF(COUNTBLANK(B19:E19)+COUNTBLANK(G19)+COUNTBLANK(P19)=0,"Complete","Missing "&amp;(COUNTBLANK(B19:E19)+COUNTBLANK(G19)+COUNTBLANK(P19))&amp;" required"))</f>
        <v/>
      </c>
      <c r="T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>
        <f>IF(A20="","",IF(COUNTBLANK(B20:E20)+COUNTBLANK(G20)+COUNTBLANK(P20)=0,"Complete","Missing "&amp;(COUNTBLANK(B20:E20)+COUNTBLANK(G20)+COUNTBLANK(P20))&amp;" required"))</f>
        <v/>
      </c>
      <c r="T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>
        <f>IF(A21="","",IF(COUNTBLANK(B21:E21)+COUNTBLANK(G21)+COUNTBLANK(P21)=0,"Complete","Missing "&amp;(COUNTBLANK(B21:E21)+COUNTBLANK(G21)+COUNTBLANK(P21))&amp;" required"))</f>
        <v/>
      </c>
      <c r="T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>
        <f>IF(A22="","",IF(COUNTBLANK(B22:E22)+COUNTBLANK(G22)+COUNTBLANK(P22)=0,"Complete","Missing "&amp;(COUNTBLANK(B22:E22)+COUNTBLANK(G22)+COUNTBLANK(P22))&amp;" required"))</f>
        <v/>
      </c>
      <c r="T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>
        <f>IF(A23="","",IF(COUNTBLANK(B23:E23)+COUNTBLANK(G23)+COUNTBLANK(P23)=0,"Complete","Missing "&amp;(COUNTBLANK(B23:E23)+COUNTBLANK(G23)+COUNTBLANK(P23))&amp;" required"))</f>
        <v/>
      </c>
      <c r="T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>
        <f>IF(A24="","",IF(COUNTBLANK(B24:E24)+COUNTBLANK(G24)+COUNTBLANK(P24)=0,"Complete","Missing "&amp;(COUNTBLANK(B24:E24)+COUNTBLANK(G24)+COUNTBLANK(P24))&amp;" required"))</f>
        <v/>
      </c>
      <c r="T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>
        <f>IF(A25="","",IF(COUNTBLANK(B25:E25)+COUNTBLANK(G25)+COUNTBLANK(P25)=0,"Complete","Missing "&amp;(COUNTBLANK(B25:E25)+COUNTBLANK(G25)+COUNTBLANK(P25))&amp;" required"))</f>
        <v/>
      </c>
      <c r="T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>
        <f>IF(A26="","",IF(COUNTBLANK(B26:E26)+COUNTBLANK(G26)+COUNTBLANK(P26)=0,"Complete","Missing "&amp;(COUNTBLANK(B26:E26)+COUNTBLANK(G26)+COUNTBLANK(P26))&amp;" required"))</f>
        <v/>
      </c>
      <c r="T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>
        <f>IF(A27="","",IF(COUNTBLANK(B27:E27)+COUNTBLANK(G27)+COUNTBLANK(P27)=0,"Complete","Missing "&amp;(COUNTBLANK(B27:E27)+COUNTBLANK(G27)+COUNTBLANK(P27))&amp;" required"))</f>
        <v/>
      </c>
      <c r="T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>
        <f>IF(A28="","",IF(COUNTBLANK(B28:E28)+COUNTBLANK(G28)+COUNTBLANK(P28)=0,"Complete","Missing "&amp;(COUNTBLANK(B28:E28)+COUNTBLANK(G28)+COUNTBLANK(P28))&amp;" required"))</f>
        <v/>
      </c>
      <c r="T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>
        <f>IF(A29="","",IF(COUNTBLANK(B29:E29)+COUNTBLANK(G29)+COUNTBLANK(P29)=0,"Complete","Missing "&amp;(COUNTBLANK(B29:E29)+COUNTBLANK(G29)+COUNTBLANK(P29))&amp;" required"))</f>
        <v/>
      </c>
      <c r="T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>
        <f>IF(A30="","",IF(COUNTBLANK(B30:E30)+COUNTBLANK(G30)+COUNTBLANK(P30)=0,"Complete","Missing "&amp;(COUNTBLANK(B30:E30)+COUNTBLANK(G30)+COUNTBLANK(P30))&amp;" required"))</f>
        <v/>
      </c>
      <c r="T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>
        <f>IF(A31="","",IF(COUNTBLANK(B31:E31)+COUNTBLANK(G31)+COUNTBLANK(P31)=0,"Complete","Missing "&amp;(COUNTBLANK(B31:E31)+COUNTBLANK(G31)+COUNTBLANK(P31))&amp;" required"))</f>
        <v/>
      </c>
      <c r="T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>
        <f>IF(A32="","",IF(COUNTBLANK(B32:E32)+COUNTBLANK(G32)+COUNTBLANK(P32)=0,"Complete","Missing "&amp;(COUNTBLANK(B32:E32)+COUNTBLANK(G32)+COUNTBLANK(P32))&amp;" required"))</f>
        <v/>
      </c>
      <c r="T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>
        <f>IF(A33="","",IF(COUNTBLANK(B33:E33)+COUNTBLANK(G33)+COUNTBLANK(P33)=0,"Complete","Missing "&amp;(COUNTBLANK(B33:E33)+COUNTBLANK(G33)+COUNTBLANK(P33))&amp;" required"))</f>
        <v/>
      </c>
      <c r="T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>
        <f>IF(A34="","",IF(COUNTBLANK(B34:E34)+COUNTBLANK(G34)+COUNTBLANK(P34)=0,"Complete","Missing "&amp;(COUNTBLANK(B34:E34)+COUNTBLANK(G34)+COUNTBLANK(P34))&amp;" required"))</f>
        <v/>
      </c>
      <c r="T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>
        <f>IF(A35="","",IF(COUNTBLANK(B35:E35)+COUNTBLANK(G35)+COUNTBLANK(P35)=0,"Complete","Missing "&amp;(COUNTBLANK(B35:E35)+COUNTBLANK(G35)+COUNTBLANK(P35))&amp;" required"))</f>
        <v/>
      </c>
      <c r="T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>
        <f>IF(A36="","",IF(COUNTBLANK(B36:E36)+COUNTBLANK(G36)+COUNTBLANK(P36)=0,"Complete","Missing "&amp;(COUNTBLANK(B36:E36)+COUNTBLANK(G36)+COUNTBLANK(P36))&amp;" required"))</f>
        <v/>
      </c>
      <c r="T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>
        <f>IF(A37="","",IF(COUNTBLANK(B37:E37)+COUNTBLANK(G37)+COUNTBLANK(P37)=0,"Complete","Missing "&amp;(COUNTBLANK(B37:E37)+COUNTBLANK(G37)+COUNTBLANK(P37))&amp;" required"))</f>
        <v/>
      </c>
      <c r="T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>
        <f>IF(A38="","",IF(COUNTBLANK(B38:E38)+COUNTBLANK(G38)+COUNTBLANK(P38)=0,"Complete","Missing "&amp;(COUNTBLANK(B38:E38)+COUNTBLANK(G38)+COUNTBLANK(P38))&amp;" required"))</f>
        <v/>
      </c>
      <c r="T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>
        <f>IF(A39="","",IF(COUNTBLANK(B39:E39)+COUNTBLANK(G39)+COUNTBLANK(P39)=0,"Complete","Missing "&amp;(COUNTBLANK(B39:E39)+COUNTBLANK(G39)+COUNTBLANK(P39))&amp;" required"))</f>
        <v/>
      </c>
      <c r="T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>
        <f>IF(A40="","",IF(COUNTBLANK(B40:E40)+COUNTBLANK(G40)+COUNTBLANK(P40)=0,"Complete","Missing "&amp;(COUNTBLANK(B40:E40)+COUNTBLANK(G40)+COUNTBLANK(P40))&amp;" required"))</f>
        <v/>
      </c>
      <c r="T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>
        <f>IF(A41="","",IF(COUNTBLANK(B41:E41)+COUNTBLANK(G41)+COUNTBLANK(P41)=0,"Complete","Missing "&amp;(COUNTBLANK(B41:E41)+COUNTBLANK(G41)+COUNTBLANK(P41))&amp;" required"))</f>
        <v/>
      </c>
      <c r="T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>
        <f>IF(A42="","",IF(COUNTBLANK(B42:E42)+COUNTBLANK(G42)+COUNTBLANK(P42)=0,"Complete","Missing "&amp;(COUNTBLANK(B42:E42)+COUNTBLANK(G42)+COUNTBLANK(P42))&amp;" required"))</f>
        <v/>
      </c>
      <c r="T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>
        <f>IF(A43="","",IF(COUNTBLANK(B43:E43)+COUNTBLANK(G43)+COUNTBLANK(P43)=0,"Complete","Missing "&amp;(COUNTBLANK(B43:E43)+COUNTBLANK(G43)+COUNTBLANK(P43))&amp;" required"))</f>
        <v/>
      </c>
      <c r="T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>
        <f>IF(A44="","",IF(COUNTBLANK(B44:E44)+COUNTBLANK(G44)+COUNTBLANK(P44)=0,"Complete","Missing "&amp;(COUNTBLANK(B44:E44)+COUNTBLANK(G44)+COUNTBLANK(P44))&amp;" required"))</f>
        <v/>
      </c>
      <c r="T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>
        <f>IF(A45="","",IF(COUNTBLANK(B45:E45)+COUNTBLANK(G45)+COUNTBLANK(P45)=0,"Complete","Missing "&amp;(COUNTBLANK(B45:E45)+COUNTBLANK(G45)+COUNTBLANK(P45))&amp;" required"))</f>
        <v/>
      </c>
      <c r="T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>
        <f>IF(A46="","",IF(COUNTBLANK(B46:E46)+COUNTBLANK(G46)+COUNTBLANK(P46)=0,"Complete","Missing "&amp;(COUNTBLANK(B46:E46)+COUNTBLANK(G46)+COUNTBLANK(P46))&amp;" required"))</f>
        <v/>
      </c>
      <c r="T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>
        <f>IF(A47="","",IF(COUNTBLANK(B47:E47)+COUNTBLANK(G47)+COUNTBLANK(P47)=0,"Complete","Missing "&amp;(COUNTBLANK(B47:E47)+COUNTBLANK(G47)+COUNTBLANK(P47))&amp;" required"))</f>
        <v/>
      </c>
      <c r="T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>
        <f>IF(A48="","",IF(COUNTBLANK(B48:E48)+COUNTBLANK(G48)+COUNTBLANK(P48)=0,"Complete","Missing "&amp;(COUNTBLANK(B48:E48)+COUNTBLANK(G48)+COUNTBLANK(P48))&amp;" required"))</f>
        <v/>
      </c>
      <c r="T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>
        <f>IF(A49="","",IF(COUNTBLANK(B49:E49)+COUNTBLANK(G49)+COUNTBLANK(P49)=0,"Complete","Missing "&amp;(COUNTBLANK(B49:E49)+COUNTBLANK(G49)+COUNTBLANK(P49))&amp;" required"))</f>
        <v/>
      </c>
      <c r="T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>
        <f>IF(A50="","",IF(COUNTBLANK(B50:E50)+COUNTBLANK(G50)+COUNTBLANK(P50)=0,"Complete","Missing "&amp;(COUNTBLANK(B50:E50)+COUNTBLANK(G50)+COUNTBLANK(P50))&amp;" required"))</f>
        <v/>
      </c>
      <c r="T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>
        <f>IF(A51="","",IF(COUNTBLANK(B51:E51)+COUNTBLANK(G51)+COUNTBLANK(P51)=0,"Complete","Missing "&amp;(COUNTBLANK(B51:E51)+COUNTBLANK(G51)+COUNTBLANK(P51))&amp;" required"))</f>
        <v/>
      </c>
      <c r="T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>
        <f>IF(A52="","",IF(COUNTBLANK(B52:E52)+COUNTBLANK(G52)+COUNTBLANK(P52)=0,"Complete","Missing "&amp;(COUNTBLANK(B52:E52)+COUNTBLANK(G52)+COUNTBLANK(P52))&amp;" required"))</f>
        <v/>
      </c>
      <c r="T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>
        <f>IF(A53="","",IF(COUNTBLANK(B53:E53)+COUNTBLANK(G53)+COUNTBLANK(P53)=0,"Complete","Missing "&amp;(COUNTBLANK(B53:E53)+COUNTBLANK(G53)+COUNTBLANK(P53))&amp;" required"))</f>
        <v/>
      </c>
      <c r="T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>
        <f>IF(A54="","",IF(COUNTBLANK(B54:E54)+COUNTBLANK(G54)+COUNTBLANK(P54)=0,"Complete","Missing "&amp;(COUNTBLANK(B54:E54)+COUNTBLANK(G54)+COUNTBLANK(P54))&amp;" required"))</f>
        <v/>
      </c>
      <c r="T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>
        <f>IF(A55="","",IF(COUNTBLANK(B55:E55)+COUNTBLANK(G55)+COUNTBLANK(P55)=0,"Complete","Missing "&amp;(COUNTBLANK(B55:E55)+COUNTBLANK(G55)+COUNTBLANK(P55))&amp;" required"))</f>
        <v/>
      </c>
      <c r="T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>
        <f>IF(A56="","",IF(COUNTBLANK(B56:E56)+COUNTBLANK(G56)+COUNTBLANK(P56)=0,"Complete","Missing "&amp;(COUNTBLANK(B56:E56)+COUNTBLANK(G56)+COUNTBLANK(P56))&amp;" required"))</f>
        <v/>
      </c>
      <c r="T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>
        <f>IF(A57="","",IF(COUNTBLANK(B57:E57)+COUNTBLANK(G57)+COUNTBLANK(P57)=0,"Complete","Missing "&amp;(COUNTBLANK(B57:E57)+COUNTBLANK(G57)+COUNTBLANK(P57))&amp;" required"))</f>
        <v/>
      </c>
      <c r="T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>
        <f>IF(A58="","",IF(COUNTBLANK(B58:E58)+COUNTBLANK(G58)+COUNTBLANK(P58)=0,"Complete","Missing "&amp;(COUNTBLANK(B58:E58)+COUNTBLANK(G58)+COUNTBLANK(P58))&amp;" required"))</f>
        <v/>
      </c>
      <c r="T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>
        <f>IF(A59="","",IF(COUNTBLANK(B59:E59)+COUNTBLANK(G59)+COUNTBLANK(P59)=0,"Complete","Missing "&amp;(COUNTBLANK(B59:E59)+COUNTBLANK(G59)+COUNTBLANK(P59))&amp;" required"))</f>
        <v/>
      </c>
      <c r="T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>
        <f>IF(A60="","",IF(COUNTBLANK(B60:E60)+COUNTBLANK(G60)+COUNTBLANK(P60)=0,"Complete","Missing "&amp;(COUNTBLANK(B60:E60)+COUNTBLANK(G60)+COUNTBLANK(P60))&amp;" required"))</f>
        <v/>
      </c>
      <c r="T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>
        <f>IF(A61="","",IF(COUNTBLANK(B61:E61)+COUNTBLANK(G61)+COUNTBLANK(P61)=0,"Complete","Missing "&amp;(COUNTBLANK(B61:E61)+COUNTBLANK(G61)+COUNTBLANK(P61))&amp;" required"))</f>
        <v/>
      </c>
      <c r="T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>
        <f>IF(A62="","",IF(COUNTBLANK(B62:E62)+COUNTBLANK(G62)+COUNTBLANK(P62)=0,"Complete","Missing "&amp;(COUNTBLANK(B62:E62)+COUNTBLANK(G62)+COUNTBLANK(P62))&amp;" required"))</f>
        <v/>
      </c>
      <c r="T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>
        <f>IF(A63="","",IF(COUNTBLANK(B63:E63)+COUNTBLANK(G63)+COUNTBLANK(P63)=0,"Complete","Missing "&amp;(COUNTBLANK(B63:E63)+COUNTBLANK(G63)+COUNTBLANK(P63))&amp;" required"))</f>
        <v/>
      </c>
      <c r="T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>
        <f>IF(A64="","",IF(COUNTBLANK(B64:E64)+COUNTBLANK(G64)+COUNTBLANK(P64)=0,"Complete","Missing "&amp;(COUNTBLANK(B64:E64)+COUNTBLANK(G64)+COUNTBLANK(P64))&amp;" required"))</f>
        <v/>
      </c>
      <c r="T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>
        <f>IF(A65="","",IF(COUNTBLANK(B65:E65)+COUNTBLANK(G65)+COUNTBLANK(P65)=0,"Complete","Missing "&amp;(COUNTBLANK(B65:E65)+COUNTBLANK(G65)+COUNTBLANK(P65))&amp;" required"))</f>
        <v/>
      </c>
      <c r="T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>
        <f>IF(A66="","",IF(COUNTBLANK(B66:E66)+COUNTBLANK(G66)+COUNTBLANK(P66)=0,"Complete","Missing "&amp;(COUNTBLANK(B66:E66)+COUNTBLANK(G66)+COUNTBLANK(P66))&amp;" required"))</f>
        <v/>
      </c>
      <c r="T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>
        <f>IF(A67="","",IF(COUNTBLANK(B67:E67)+COUNTBLANK(G67)+COUNTBLANK(P67)=0,"Complete","Missing "&amp;(COUNTBLANK(B67:E67)+COUNTBLANK(G67)+COUNTBLANK(P67))&amp;" required"))</f>
        <v/>
      </c>
      <c r="T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>
        <f>IF(A68="","",IF(COUNTBLANK(B68:E68)+COUNTBLANK(G68)+COUNTBLANK(P68)=0,"Complete","Missing "&amp;(COUNTBLANK(B68:E68)+COUNTBLANK(G68)+COUNTBLANK(P68))&amp;" required"))</f>
        <v/>
      </c>
      <c r="T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>
        <f>IF(A69="","",IF(COUNTBLANK(B69:E69)+COUNTBLANK(G69)+COUNTBLANK(P69)=0,"Complete","Missing "&amp;(COUNTBLANK(B69:E69)+COUNTBLANK(G69)+COUNTBLANK(P69))&amp;" required"))</f>
        <v/>
      </c>
      <c r="T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>
        <f>IF(A70="","",IF(COUNTBLANK(B70:E70)+COUNTBLANK(G70)+COUNTBLANK(P70)=0,"Complete","Missing "&amp;(COUNTBLANK(B70:E70)+COUNTBLANK(G70)+COUNTBLANK(P70))&amp;" required"))</f>
        <v/>
      </c>
      <c r="T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>
        <f>IF(A71="","",IF(COUNTBLANK(B71:E71)+COUNTBLANK(G71)+COUNTBLANK(P71)=0,"Complete","Missing "&amp;(COUNTBLANK(B71:E71)+COUNTBLANK(G71)+COUNTBLANK(P71))&amp;" required"))</f>
        <v/>
      </c>
      <c r="T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>
        <f>IF(A72="","",IF(COUNTBLANK(B72:E72)+COUNTBLANK(G72)+COUNTBLANK(P72)=0,"Complete","Missing "&amp;(COUNTBLANK(B72:E72)+COUNTBLANK(G72)+COUNTBLANK(P72))&amp;" required"))</f>
        <v/>
      </c>
      <c r="T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>
        <f>IF(A73="","",IF(COUNTBLANK(B73:E73)+COUNTBLANK(G73)+COUNTBLANK(P73)=0,"Complete","Missing "&amp;(COUNTBLANK(B73:E73)+COUNTBLANK(G73)+COUNTBLANK(P73))&amp;" required"))</f>
        <v/>
      </c>
      <c r="T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>
        <f>IF(A74="","",IF(COUNTBLANK(B74:E74)+COUNTBLANK(G74)+COUNTBLANK(P74)=0,"Complete","Missing "&amp;(COUNTBLANK(B74:E74)+COUNTBLANK(G74)+COUNTBLANK(P74))&amp;" required"))</f>
        <v/>
      </c>
      <c r="T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>
        <f>IF(A75="","",IF(COUNTBLANK(B75:E75)+COUNTBLANK(G75)+COUNTBLANK(P75)=0,"Complete","Missing "&amp;(COUNTBLANK(B75:E75)+COUNTBLANK(G75)+COUNTBLANK(P75))&amp;" required"))</f>
        <v/>
      </c>
      <c r="T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>
        <f>IF(A76="","",IF(COUNTBLANK(B76:E76)+COUNTBLANK(G76)+COUNTBLANK(P76)=0,"Complete","Missing "&amp;(COUNTBLANK(B76:E76)+COUNTBLANK(G76)+COUNTBLANK(P76))&amp;" required"))</f>
        <v/>
      </c>
      <c r="T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>
        <f>IF(A77="","",IF(COUNTBLANK(B77:E77)+COUNTBLANK(G77)+COUNTBLANK(P77)=0,"Complete","Missing "&amp;(COUNTBLANK(B77:E77)+COUNTBLANK(G77)+COUNTBLANK(P77))&amp;" required"))</f>
        <v/>
      </c>
      <c r="T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>
        <f>IF(A78="","",IF(COUNTBLANK(B78:E78)+COUNTBLANK(G78)+COUNTBLANK(P78)=0,"Complete","Missing "&amp;(COUNTBLANK(B78:E78)+COUNTBLANK(G78)+COUNTBLANK(P78))&amp;" required"))</f>
        <v/>
      </c>
      <c r="T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>
        <f>IF(A79="","",IF(COUNTBLANK(B79:E79)+COUNTBLANK(G79)+COUNTBLANK(P79)=0,"Complete","Missing "&amp;(COUNTBLANK(B79:E79)+COUNTBLANK(G79)+COUNTBLANK(P79))&amp;" required"))</f>
        <v/>
      </c>
      <c r="T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>
        <f>IF(A80="","",IF(COUNTBLANK(B80:E80)+COUNTBLANK(G80)+COUNTBLANK(P80)=0,"Complete","Missing "&amp;(COUNTBLANK(B80:E80)+COUNTBLANK(G80)+COUNTBLANK(P80))&amp;" required"))</f>
        <v/>
      </c>
      <c r="T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>
        <f>IF(A81="","",IF(COUNTBLANK(B81:E81)+COUNTBLANK(G81)+COUNTBLANK(P81)=0,"Complete","Missing "&amp;(COUNTBLANK(B81:E81)+COUNTBLANK(G81)+COUNTBLANK(P81))&amp;" required"))</f>
        <v/>
      </c>
      <c r="T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>
        <f>IF(A82="","",IF(COUNTBLANK(B82:E82)+COUNTBLANK(G82)+COUNTBLANK(P82)=0,"Complete","Missing "&amp;(COUNTBLANK(B82:E82)+COUNTBLANK(G82)+COUNTBLANK(P82))&amp;" required"))</f>
        <v/>
      </c>
      <c r="T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>
        <f>IF(A83="","",IF(COUNTBLANK(B83:E83)+COUNTBLANK(G83)+COUNTBLANK(P83)=0,"Complete","Missing "&amp;(COUNTBLANK(B83:E83)+COUNTBLANK(G83)+COUNTBLANK(P83))&amp;" required"))</f>
        <v/>
      </c>
      <c r="T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>
        <f>IF(A84="","",IF(COUNTBLANK(B84:E84)+COUNTBLANK(G84)+COUNTBLANK(P84)=0,"Complete","Missing "&amp;(COUNTBLANK(B84:E84)+COUNTBLANK(G84)+COUNTBLANK(P84))&amp;" required"))</f>
        <v/>
      </c>
      <c r="T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>
        <f>IF(A85="","",IF(COUNTBLANK(B85:E85)+COUNTBLANK(G85)+COUNTBLANK(P85)=0,"Complete","Missing "&amp;(COUNTBLANK(B85:E85)+COUNTBLANK(G85)+COUNTBLANK(P85))&amp;" required"))</f>
        <v/>
      </c>
      <c r="T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>
        <f>IF(A86="","",IF(COUNTBLANK(B86:E86)+COUNTBLANK(G86)+COUNTBLANK(P86)=0,"Complete","Missing "&amp;(COUNTBLANK(B86:E86)+COUNTBLANK(G86)+COUNTBLANK(P86))&amp;" required"))</f>
        <v/>
      </c>
      <c r="T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>
        <f>IF(A87="","",IF(COUNTBLANK(B87:E87)+COUNTBLANK(G87)+COUNTBLANK(P87)=0,"Complete","Missing "&amp;(COUNTBLANK(B87:E87)+COUNTBLANK(G87)+COUNTBLANK(P87))&amp;" required"))</f>
        <v/>
      </c>
      <c r="T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>
        <f>IF(A88="","",IF(COUNTBLANK(B88:E88)+COUNTBLANK(G88)+COUNTBLANK(P88)=0,"Complete","Missing "&amp;(COUNTBLANK(B88:E88)+COUNTBLANK(G88)+COUNTBLANK(P88))&amp;" required"))</f>
        <v/>
      </c>
      <c r="T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>
        <f>IF(A89="","",IF(COUNTBLANK(B89:E89)+COUNTBLANK(G89)+COUNTBLANK(P89)=0,"Complete","Missing "&amp;(COUNTBLANK(B89:E89)+COUNTBLANK(G89)+COUNTBLANK(P89))&amp;" required"))</f>
        <v/>
      </c>
      <c r="T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>
        <f>IF(A90="","",IF(COUNTBLANK(B90:E90)+COUNTBLANK(G90)+COUNTBLANK(P90)=0,"Complete","Missing "&amp;(COUNTBLANK(B90:E90)+COUNTBLANK(G90)+COUNTBLANK(P90))&amp;" required"))</f>
        <v/>
      </c>
      <c r="T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>
        <f>IF(A91="","",IF(COUNTBLANK(B91:E91)+COUNTBLANK(G91)+COUNTBLANK(P91)=0,"Complete","Missing "&amp;(COUNTBLANK(B91:E91)+COUNTBLANK(G91)+COUNTBLANK(P91))&amp;" required"))</f>
        <v/>
      </c>
      <c r="T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>
        <f>IF(A92="","",IF(COUNTBLANK(B92:E92)+COUNTBLANK(G92)+COUNTBLANK(P92)=0,"Complete","Missing "&amp;(COUNTBLANK(B92:E92)+COUNTBLANK(G92)+COUNTBLANK(P92))&amp;" required"))</f>
        <v/>
      </c>
      <c r="T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>
        <f>IF(A93="","",IF(COUNTBLANK(B93:E93)+COUNTBLANK(G93)+COUNTBLANK(P93)=0,"Complete","Missing "&amp;(COUNTBLANK(B93:E93)+COUNTBLANK(G93)+COUNTBLANK(P93))&amp;" required"))</f>
        <v/>
      </c>
      <c r="T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>
        <f>IF(A94="","",IF(COUNTBLANK(B94:E94)+COUNTBLANK(G94)+COUNTBLANK(P94)=0,"Complete","Missing "&amp;(COUNTBLANK(B94:E94)+COUNTBLANK(G94)+COUNTBLANK(P94))&amp;" required"))</f>
        <v/>
      </c>
      <c r="T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>
        <f>IF(A95="","",IF(COUNTBLANK(B95:E95)+COUNTBLANK(G95)+COUNTBLANK(P95)=0,"Complete","Missing "&amp;(COUNTBLANK(B95:E95)+COUNTBLANK(G95)+COUNTBLANK(P95))&amp;" required"))</f>
        <v/>
      </c>
      <c r="T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>
        <f>IF(A96="","",IF(COUNTBLANK(B96:E96)+COUNTBLANK(G96)+COUNTBLANK(P96)=0,"Complete","Missing "&amp;(COUNTBLANK(B96:E96)+COUNTBLANK(G96)+COUNTBLANK(P96))&amp;" required"))</f>
        <v/>
      </c>
      <c r="T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>
        <f>IF(A97="","",IF(COUNTBLANK(B97:E97)+COUNTBLANK(G97)+COUNTBLANK(P97)=0,"Complete","Missing "&amp;(COUNTBLANK(B97:E97)+COUNTBLANK(G97)+COUNTBLANK(P97))&amp;" required"))</f>
        <v/>
      </c>
      <c r="T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>
        <f>IF(A98="","",IF(COUNTBLANK(B98:E98)+COUNTBLANK(G98)+COUNTBLANK(P98)=0,"Complete","Missing "&amp;(COUNTBLANK(B98:E98)+COUNTBLANK(G98)+COUNTBLANK(P98))&amp;" required"))</f>
        <v/>
      </c>
      <c r="T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>
        <f>IF(A99="","",IF(COUNTBLANK(B99:E99)+COUNTBLANK(G99)+COUNTBLANK(P99)=0,"Complete","Missing "&amp;(COUNTBLANK(B99:E99)+COUNTBLANK(G99)+COUNTBLANK(P99))&amp;" required"))</f>
        <v/>
      </c>
      <c r="T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>
        <f>IF(A100="","",IF(COUNTBLANK(B100:E100)+COUNTBLANK(G100)+COUNTBLANK(P100)=0,"Complete","Missing "&amp;(COUNTBLANK(B100:E100)+COUNTBLANK(G100)+COUNTBLANK(P100))&amp;" required"))</f>
        <v/>
      </c>
      <c r="T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>
        <f>IF(A101="","",IF(COUNTBLANK(B101:E101)+COUNTBLANK(G101)+COUNTBLANK(P101)=0,"Complete","Missing "&amp;(COUNTBLANK(B101:E101)+COUNTBLANK(G101)+COUNTBLANK(P101))&amp;" required"))</f>
        <v/>
      </c>
      <c r="T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>
        <f>IF(A102="","",IF(COUNTBLANK(B102:E102)+COUNTBLANK(G102)+COUNTBLANK(P102)=0,"Complete","Missing "&amp;(COUNTBLANK(B102:E102)+COUNTBLANK(G102)+COUNTBLANK(P102))&amp;" required"))</f>
        <v/>
      </c>
      <c r="T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>
        <f>IF(A103="","",IF(COUNTBLANK(B103:E103)+COUNTBLANK(G103)+COUNTBLANK(P103)=0,"Complete","Missing "&amp;(COUNTBLANK(B103:E103)+COUNTBLANK(G103)+COUNTBLANK(P103))&amp;" required"))</f>
        <v/>
      </c>
      <c r="T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>
        <f>IF(A104="","",IF(COUNTBLANK(B104:E104)+COUNTBLANK(G104)+COUNTBLANK(P104)=0,"Complete","Missing "&amp;(COUNTBLANK(B104:E104)+COUNTBLANK(G104)+COUNTBLANK(P104))&amp;" required"))</f>
        <v/>
      </c>
      <c r="T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>
        <f>IF(A105="","",IF(COUNTBLANK(B105:E105)+COUNTBLANK(G105)+COUNTBLANK(P105)=0,"Complete","Missing "&amp;(COUNTBLANK(B105:E105)+COUNTBLANK(G105)+COUNTBLANK(P105))&amp;" required"))</f>
        <v/>
      </c>
      <c r="T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>
        <f>IF(A106="","",IF(COUNTBLANK(B106:E106)+COUNTBLANK(G106)+COUNTBLANK(P106)=0,"Complete","Missing "&amp;(COUNTBLANK(B106:E106)+COUNTBLANK(G106)+COUNTBLANK(P106))&amp;" required"))</f>
        <v/>
      </c>
      <c r="T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>
        <f>IF(A107="","",IF(COUNTBLANK(B107:E107)+COUNTBLANK(G107)+COUNTBLANK(P107)=0,"Complete","Missing "&amp;(COUNTBLANK(B107:E107)+COUNTBLANK(G107)+COUNTBLANK(P107))&amp;" required"))</f>
        <v/>
      </c>
      <c r="T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>
        <f>IF(A108="","",IF(COUNTBLANK(B108:E108)+COUNTBLANK(G108)+COUNTBLANK(P108)=0,"Complete","Missing "&amp;(COUNTBLANK(B108:E108)+COUNTBLANK(G108)+COUNTBLANK(P108))&amp;" required"))</f>
        <v/>
      </c>
      <c r="T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>
        <f>IF(A109="","",IF(COUNTBLANK(B109:E109)+COUNTBLANK(G109)+COUNTBLANK(P109)=0,"Complete","Missing "&amp;(COUNTBLANK(B109:E109)+COUNTBLANK(G109)+COUNTBLANK(P109))&amp;" required"))</f>
        <v/>
      </c>
      <c r="T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>
        <f>IF(A110="","",IF(COUNTBLANK(B110:E110)+COUNTBLANK(G110)+COUNTBLANK(P110)=0,"Complete","Missing "&amp;(COUNTBLANK(B110:E110)+COUNTBLANK(G110)+COUNTBLANK(P110))&amp;" required"))</f>
        <v/>
      </c>
      <c r="T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>
        <f>IF(A111="","",IF(COUNTBLANK(B111:E111)+COUNTBLANK(G111)+COUNTBLANK(P111)=0,"Complete","Missing "&amp;(COUNTBLANK(B111:E111)+COUNTBLANK(G111)+COUNTBLANK(P111))&amp;" required"))</f>
        <v/>
      </c>
      <c r="T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>
        <f>IF(A112="","",IF(COUNTBLANK(B112:E112)+COUNTBLANK(G112)+COUNTBLANK(P112)=0,"Complete","Missing "&amp;(COUNTBLANK(B112:E112)+COUNTBLANK(G112)+COUNTBLANK(P112))&amp;" required"))</f>
        <v/>
      </c>
      <c r="T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>
        <f>IF(A113="","",IF(COUNTBLANK(B113:E113)+COUNTBLANK(G113)+COUNTBLANK(P113)=0,"Complete","Missing "&amp;(COUNTBLANK(B113:E113)+COUNTBLANK(G113)+COUNTBLANK(P113))&amp;" required"))</f>
        <v/>
      </c>
      <c r="T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>
        <f>IF(A114="","",IF(COUNTBLANK(B114:E114)+COUNTBLANK(G114)+COUNTBLANK(P114)=0,"Complete","Missing "&amp;(COUNTBLANK(B114:E114)+COUNTBLANK(G114)+COUNTBLANK(P114))&amp;" required"))</f>
        <v/>
      </c>
      <c r="T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>
        <f>IF(A115="","",IF(COUNTBLANK(B115:E115)+COUNTBLANK(G115)+COUNTBLANK(P115)=0,"Complete","Missing "&amp;(COUNTBLANK(B115:E115)+COUNTBLANK(G115)+COUNTBLANK(P115))&amp;" required"))</f>
        <v/>
      </c>
      <c r="T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>
        <f>IF(A116="","",IF(COUNTBLANK(B116:E116)+COUNTBLANK(G116)+COUNTBLANK(P116)=0,"Complete","Missing "&amp;(COUNTBLANK(B116:E116)+COUNTBLANK(G116)+COUNTBLANK(P116))&amp;" required"))</f>
        <v/>
      </c>
      <c r="T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>
        <f>IF(A117="","",IF(COUNTBLANK(B117:E117)+COUNTBLANK(G117)+COUNTBLANK(P117)=0,"Complete","Missing "&amp;(COUNTBLANK(B117:E117)+COUNTBLANK(G117)+COUNTBLANK(P117))&amp;" required"))</f>
        <v/>
      </c>
      <c r="T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>
        <f>IF(A118="","",IF(COUNTBLANK(B118:E118)+COUNTBLANK(G118)+COUNTBLANK(P118)=0,"Complete","Missing "&amp;(COUNTBLANK(B118:E118)+COUNTBLANK(G118)+COUNTBLANK(P118))&amp;" required"))</f>
        <v/>
      </c>
      <c r="T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>
        <f>IF(A119="","",IF(COUNTBLANK(B119:E119)+COUNTBLANK(G119)+COUNTBLANK(P119)=0,"Complete","Missing "&amp;(COUNTBLANK(B119:E119)+COUNTBLANK(G119)+COUNTBLANK(P119))&amp;" required"))</f>
        <v/>
      </c>
      <c r="T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>
        <f>IF(A120="","",IF(COUNTBLANK(B120:E120)+COUNTBLANK(G120)+COUNTBLANK(P120)=0,"Complete","Missing "&amp;(COUNTBLANK(B120:E120)+COUNTBLANK(G120)+COUNTBLANK(P120))&amp;" required"))</f>
        <v/>
      </c>
      <c r="T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>
        <f>IF(A121="","",IF(COUNTBLANK(B121:E121)+COUNTBLANK(G121)+COUNTBLANK(P121)=0,"Complete","Missing "&amp;(COUNTBLANK(B121:E121)+COUNTBLANK(G121)+COUNTBLANK(P121))&amp;" required"))</f>
        <v/>
      </c>
      <c r="T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>
        <f>IF(A122="","",IF(COUNTBLANK(B122:E122)+COUNTBLANK(G122)+COUNTBLANK(P122)=0,"Complete","Missing "&amp;(COUNTBLANK(B122:E122)+COUNTBLANK(G122)+COUNTBLANK(P122))&amp;" required"))</f>
        <v/>
      </c>
      <c r="T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>
        <f>IF(A123="","",IF(COUNTBLANK(B123:E123)+COUNTBLANK(G123)+COUNTBLANK(P123)=0,"Complete","Missing "&amp;(COUNTBLANK(B123:E123)+COUNTBLANK(G123)+COUNTBLANK(P123))&amp;" required"))</f>
        <v/>
      </c>
      <c r="T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>
        <f>IF(A124="","",IF(COUNTBLANK(B124:E124)+COUNTBLANK(G124)+COUNTBLANK(P124)=0,"Complete","Missing "&amp;(COUNTBLANK(B124:E124)+COUNTBLANK(G124)+COUNTBLANK(P124))&amp;" required"))</f>
        <v/>
      </c>
      <c r="T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>
        <f>IF(A125="","",IF(COUNTBLANK(B125:E125)+COUNTBLANK(G125)+COUNTBLANK(P125)=0,"Complete","Missing "&amp;(COUNTBLANK(B125:E125)+COUNTBLANK(G125)+COUNTBLANK(P125))&amp;" required"))</f>
        <v/>
      </c>
      <c r="T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>
        <f>IF(A126="","",IF(COUNTBLANK(B126:E126)+COUNTBLANK(G126)+COUNTBLANK(P126)=0,"Complete","Missing "&amp;(COUNTBLANK(B126:E126)+COUNTBLANK(G126)+COUNTBLANK(P126))&amp;" required"))</f>
        <v/>
      </c>
      <c r="T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>
        <f>IF(A127="","",IF(COUNTBLANK(B127:E127)+COUNTBLANK(G127)+COUNTBLANK(P127)=0,"Complete","Missing "&amp;(COUNTBLANK(B127:E127)+COUNTBLANK(G127)+COUNTBLANK(P127))&amp;" required"))</f>
        <v/>
      </c>
      <c r="T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>
        <f>IF(A128="","",IF(COUNTBLANK(B128:E128)+COUNTBLANK(G128)+COUNTBLANK(P128)=0,"Complete","Missing "&amp;(COUNTBLANK(B128:E128)+COUNTBLANK(G128)+COUNTBLANK(P128))&amp;" required"))</f>
        <v/>
      </c>
      <c r="T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>
        <f>IF(A129="","",IF(COUNTBLANK(B129:E129)+COUNTBLANK(G129)+COUNTBLANK(P129)=0,"Complete","Missing "&amp;(COUNTBLANK(B129:E129)+COUNTBLANK(G129)+COUNTBLANK(P129))&amp;" required"))</f>
        <v/>
      </c>
      <c r="T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>
        <f>IF(A130="","",IF(COUNTBLANK(B130:E130)+COUNTBLANK(G130)+COUNTBLANK(P130)=0,"Complete","Missing "&amp;(COUNTBLANK(B130:E130)+COUNTBLANK(G130)+COUNTBLANK(P130))&amp;" required"))</f>
        <v/>
      </c>
      <c r="T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>
        <f>IF(A131="","",IF(COUNTBLANK(B131:E131)+COUNTBLANK(G131)+COUNTBLANK(P131)=0,"Complete","Missing "&amp;(COUNTBLANK(B131:E131)+COUNTBLANK(G131)+COUNTBLANK(P131))&amp;" required"))</f>
        <v/>
      </c>
      <c r="T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>
        <f>IF(A132="","",IF(COUNTBLANK(B132:E132)+COUNTBLANK(G132)+COUNTBLANK(P132)=0,"Complete","Missing "&amp;(COUNTBLANK(B132:E132)+COUNTBLANK(G132)+COUNTBLANK(P132))&amp;" required"))</f>
        <v/>
      </c>
      <c r="T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>
        <f>IF(A133="","",IF(COUNTBLANK(B133:E133)+COUNTBLANK(G133)+COUNTBLANK(P133)=0,"Complete","Missing "&amp;(COUNTBLANK(B133:E133)+COUNTBLANK(G133)+COUNTBLANK(P133))&amp;" required"))</f>
        <v/>
      </c>
      <c r="T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>
        <f>IF(A134="","",IF(COUNTBLANK(B134:E134)+COUNTBLANK(G134)+COUNTBLANK(P134)=0,"Complete","Missing "&amp;(COUNTBLANK(B134:E134)+COUNTBLANK(G134)+COUNTBLANK(P134))&amp;" required"))</f>
        <v/>
      </c>
      <c r="T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>
        <f>IF(A135="","",IF(COUNTBLANK(B135:E135)+COUNTBLANK(G135)+COUNTBLANK(P135)=0,"Complete","Missing "&amp;(COUNTBLANK(B135:E135)+COUNTBLANK(G135)+COUNTBLANK(P135))&amp;" required"))</f>
        <v/>
      </c>
      <c r="T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>
        <f>IF(A136="","",IF(COUNTBLANK(B136:E136)+COUNTBLANK(G136)+COUNTBLANK(P136)=0,"Complete","Missing "&amp;(COUNTBLANK(B136:E136)+COUNTBLANK(G136)+COUNTBLANK(P136))&amp;" required"))</f>
        <v/>
      </c>
      <c r="T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>
        <f>IF(A137="","",IF(COUNTBLANK(B137:E137)+COUNTBLANK(G137)+COUNTBLANK(P137)=0,"Complete","Missing "&amp;(COUNTBLANK(B137:E137)+COUNTBLANK(G137)+COUNTBLANK(P137))&amp;" required"))</f>
        <v/>
      </c>
      <c r="T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>
        <f>IF(A138="","",IF(COUNTBLANK(B138:E138)+COUNTBLANK(G138)+COUNTBLANK(P138)=0,"Complete","Missing "&amp;(COUNTBLANK(B138:E138)+COUNTBLANK(G138)+COUNTBLANK(P138))&amp;" required"))</f>
        <v/>
      </c>
      <c r="T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>
        <f>IF(A139="","",IF(COUNTBLANK(B139:E139)+COUNTBLANK(G139)+COUNTBLANK(P139)=0,"Complete","Missing "&amp;(COUNTBLANK(B139:E139)+COUNTBLANK(G139)+COUNTBLANK(P139))&amp;" required"))</f>
        <v/>
      </c>
      <c r="T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>
        <f>IF(A140="","",IF(COUNTBLANK(B140:E140)+COUNTBLANK(G140)+COUNTBLANK(P140)=0,"Complete","Missing "&amp;(COUNTBLANK(B140:E140)+COUNTBLANK(G140)+COUNTBLANK(P140))&amp;" required"))</f>
        <v/>
      </c>
      <c r="T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>
        <f>IF(A141="","",IF(COUNTBLANK(B141:E141)+COUNTBLANK(G141)+COUNTBLANK(P141)=0,"Complete","Missing "&amp;(COUNTBLANK(B141:E141)+COUNTBLANK(G141)+COUNTBLANK(P141))&amp;" required"))</f>
        <v/>
      </c>
      <c r="T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>
        <f>IF(A142="","",IF(COUNTBLANK(B142:E142)+COUNTBLANK(G142)+COUNTBLANK(P142)=0,"Complete","Missing "&amp;(COUNTBLANK(B142:E142)+COUNTBLANK(G142)+COUNTBLANK(P142))&amp;" required"))</f>
        <v/>
      </c>
      <c r="T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>
        <f>IF(A143="","",IF(COUNTBLANK(B143:E143)+COUNTBLANK(G143)+COUNTBLANK(P143)=0,"Complete","Missing "&amp;(COUNTBLANK(B143:E143)+COUNTBLANK(G143)+COUNTBLANK(P143))&amp;" required"))</f>
        <v/>
      </c>
      <c r="T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>
        <f>IF(A144="","",IF(COUNTBLANK(B144:E144)+COUNTBLANK(G144)+COUNTBLANK(P144)=0,"Complete","Missing "&amp;(COUNTBLANK(B144:E144)+COUNTBLANK(G144)+COUNTBLANK(P144))&amp;" required"))</f>
        <v/>
      </c>
      <c r="T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>
        <f>IF(A145="","",IF(COUNTBLANK(B145:E145)+COUNTBLANK(G145)+COUNTBLANK(P145)=0,"Complete","Missing "&amp;(COUNTBLANK(B145:E145)+COUNTBLANK(G145)+COUNTBLANK(P145))&amp;" required"))</f>
        <v/>
      </c>
      <c r="T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>
        <f>IF(A146="","",IF(COUNTBLANK(B146:E146)+COUNTBLANK(G146)+COUNTBLANK(P146)=0,"Complete","Missing "&amp;(COUNTBLANK(B146:E146)+COUNTBLANK(G146)+COUNTBLANK(P146))&amp;" required"))</f>
        <v/>
      </c>
      <c r="T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>
        <f>IF(A147="","",IF(COUNTBLANK(B147:E147)+COUNTBLANK(G147)+COUNTBLANK(P147)=0,"Complete","Missing "&amp;(COUNTBLANK(B147:E147)+COUNTBLANK(G147)+COUNTBLANK(P147))&amp;" required"))</f>
        <v/>
      </c>
      <c r="T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>
        <f>IF(A148="","",IF(COUNTBLANK(B148:E148)+COUNTBLANK(G148)+COUNTBLANK(P148)=0,"Complete","Missing "&amp;(COUNTBLANK(B148:E148)+COUNTBLANK(G148)+COUNTBLANK(P148))&amp;" required"))</f>
        <v/>
      </c>
      <c r="T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>
        <f>IF(A149="","",IF(COUNTBLANK(B149:E149)+COUNTBLANK(G149)+COUNTBLANK(P149)=0,"Complete","Missing "&amp;(COUNTBLANK(B149:E149)+COUNTBLANK(G149)+COUNTBLANK(P149))&amp;" required"))</f>
        <v/>
      </c>
      <c r="T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>
        <f>IF(A150="","",IF(COUNTBLANK(B150:E150)+COUNTBLANK(G150)+COUNTBLANK(P150)=0,"Complete","Missing "&amp;(COUNTBLANK(B150:E150)+COUNTBLANK(G150)+COUNTBLANK(P150))&amp;" required"))</f>
        <v/>
      </c>
      <c r="T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>
        <f>IF(A151="","",IF(COUNTBLANK(B151:E151)+COUNTBLANK(G151)+COUNTBLANK(P151)=0,"Complete","Missing "&amp;(COUNTBLANK(B151:E151)+COUNTBLANK(G151)+COUNTBLANK(P151))&amp;" required"))</f>
        <v/>
      </c>
      <c r="T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>
        <f>IF(A152="","",IF(COUNTBLANK(B152:E152)+COUNTBLANK(G152)+COUNTBLANK(P152)=0,"Complete","Missing "&amp;(COUNTBLANK(B152:E152)+COUNTBLANK(G152)+COUNTBLANK(P152))&amp;" required"))</f>
        <v/>
      </c>
      <c r="T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>
        <f>IF(A153="","",IF(COUNTBLANK(B153:E153)+COUNTBLANK(G153)+COUNTBLANK(P153)=0,"Complete","Missing "&amp;(COUNTBLANK(B153:E153)+COUNTBLANK(G153)+COUNTBLANK(P153))&amp;" required"))</f>
        <v/>
      </c>
      <c r="T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>
        <f>IF(A154="","",IF(COUNTBLANK(B154:E154)+COUNTBLANK(G154)+COUNTBLANK(P154)=0,"Complete","Missing "&amp;(COUNTBLANK(B154:E154)+COUNTBLANK(G154)+COUNTBLANK(P154))&amp;" required"))</f>
        <v/>
      </c>
      <c r="T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>
        <f>IF(A155="","",IF(COUNTBLANK(B155:E155)+COUNTBLANK(G155)+COUNTBLANK(P155)=0,"Complete","Missing "&amp;(COUNTBLANK(B155:E155)+COUNTBLANK(G155)+COUNTBLANK(P155))&amp;" required"))</f>
        <v/>
      </c>
      <c r="T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>
        <f>IF(A156="","",IF(COUNTBLANK(B156:E156)+COUNTBLANK(G156)+COUNTBLANK(P156)=0,"Complete","Missing "&amp;(COUNTBLANK(B156:E156)+COUNTBLANK(G156)+COUNTBLANK(P156))&amp;" required"))</f>
        <v/>
      </c>
      <c r="T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>
        <f>IF(A157="","",IF(COUNTBLANK(B157:E157)+COUNTBLANK(G157)+COUNTBLANK(P157)=0,"Complete","Missing "&amp;(COUNTBLANK(B157:E157)+COUNTBLANK(G157)+COUNTBLANK(P157))&amp;" required"))</f>
        <v/>
      </c>
      <c r="T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>
        <f>IF(A158="","",IF(COUNTBLANK(B158:E158)+COUNTBLANK(G158)+COUNTBLANK(P158)=0,"Complete","Missing "&amp;(COUNTBLANK(B158:E158)+COUNTBLANK(G158)+COUNTBLANK(P158))&amp;" required"))</f>
        <v/>
      </c>
      <c r="T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>
        <f>IF(A159="","",IF(COUNTBLANK(B159:E159)+COUNTBLANK(G159)+COUNTBLANK(P159)=0,"Complete","Missing "&amp;(COUNTBLANK(B159:E159)+COUNTBLANK(G159)+COUNTBLANK(P159))&amp;" required"))</f>
        <v/>
      </c>
      <c r="T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>
        <f>IF(A160="","",IF(COUNTBLANK(B160:E160)+COUNTBLANK(G160)+COUNTBLANK(P160)=0,"Complete","Missing "&amp;(COUNTBLANK(B160:E160)+COUNTBLANK(G160)+COUNTBLANK(P160))&amp;" required"))</f>
        <v/>
      </c>
      <c r="T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>
        <f>IF(A161="","",IF(COUNTBLANK(B161:E161)+COUNTBLANK(G161)+COUNTBLANK(P161)=0,"Complete","Missing "&amp;(COUNTBLANK(B161:E161)+COUNTBLANK(G161)+COUNTBLANK(P161))&amp;" required"))</f>
        <v/>
      </c>
      <c r="T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>
        <f>IF(A162="","",IF(COUNTBLANK(B162:E162)+COUNTBLANK(G162)+COUNTBLANK(P162)=0,"Complete","Missing "&amp;(COUNTBLANK(B162:E162)+COUNTBLANK(G162)+COUNTBLANK(P162))&amp;" required"))</f>
        <v/>
      </c>
      <c r="T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>
        <f>IF(A163="","",IF(COUNTBLANK(B163:E163)+COUNTBLANK(G163)+COUNTBLANK(P163)=0,"Complete","Missing "&amp;(COUNTBLANK(B163:E163)+COUNTBLANK(G163)+COUNTBLANK(P163))&amp;" required"))</f>
        <v/>
      </c>
      <c r="T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>
        <f>IF(A164="","",IF(COUNTBLANK(B164:E164)+COUNTBLANK(G164)+COUNTBLANK(P164)=0,"Complete","Missing "&amp;(COUNTBLANK(B164:E164)+COUNTBLANK(G164)+COUNTBLANK(P164))&amp;" required"))</f>
        <v/>
      </c>
      <c r="T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>
        <f>IF(A165="","",IF(COUNTBLANK(B165:E165)+COUNTBLANK(G165)+COUNTBLANK(P165)=0,"Complete","Missing "&amp;(COUNTBLANK(B165:E165)+COUNTBLANK(G165)+COUNTBLANK(P165))&amp;" required"))</f>
        <v/>
      </c>
      <c r="T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>
        <f>IF(A166="","",IF(COUNTBLANK(B166:E166)+COUNTBLANK(G166)+COUNTBLANK(P166)=0,"Complete","Missing "&amp;(COUNTBLANK(B166:E166)+COUNTBLANK(G166)+COUNTBLANK(P166))&amp;" required"))</f>
        <v/>
      </c>
      <c r="T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>
        <f>IF(A167="","",IF(COUNTBLANK(B167:E167)+COUNTBLANK(G167)+COUNTBLANK(P167)=0,"Complete","Missing "&amp;(COUNTBLANK(B167:E167)+COUNTBLANK(G167)+COUNTBLANK(P167))&amp;" required"))</f>
        <v/>
      </c>
      <c r="T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>
        <f>IF(A168="","",IF(COUNTBLANK(B168:E168)+COUNTBLANK(G168)+COUNTBLANK(P168)=0,"Complete","Missing "&amp;(COUNTBLANK(B168:E168)+COUNTBLANK(G168)+COUNTBLANK(P168))&amp;" required"))</f>
        <v/>
      </c>
      <c r="T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>
        <f>IF(A169="","",IF(COUNTBLANK(B169:E169)+COUNTBLANK(G169)+COUNTBLANK(P169)=0,"Complete","Missing "&amp;(COUNTBLANK(B169:E169)+COUNTBLANK(G169)+COUNTBLANK(P169))&amp;" required"))</f>
        <v/>
      </c>
      <c r="T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>
        <f>IF(A170="","",IF(COUNTBLANK(B170:E170)+COUNTBLANK(G170)+COUNTBLANK(P170)=0,"Complete","Missing "&amp;(COUNTBLANK(B170:E170)+COUNTBLANK(G170)+COUNTBLANK(P170))&amp;" required"))</f>
        <v/>
      </c>
      <c r="T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>
        <f>IF(A171="","",IF(COUNTBLANK(B171:E171)+COUNTBLANK(G171)+COUNTBLANK(P171)=0,"Complete","Missing "&amp;(COUNTBLANK(B171:E171)+COUNTBLANK(G171)+COUNTBLANK(P171))&amp;" required"))</f>
        <v/>
      </c>
      <c r="T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>
        <f>IF(A172="","",IF(COUNTBLANK(B172:E172)+COUNTBLANK(G172)+COUNTBLANK(P172)=0,"Complete","Missing "&amp;(COUNTBLANK(B172:E172)+COUNTBLANK(G172)+COUNTBLANK(P172))&amp;" required"))</f>
        <v/>
      </c>
      <c r="T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>
        <f>IF(A173="","",IF(COUNTBLANK(B173:E173)+COUNTBLANK(G173)+COUNTBLANK(P173)=0,"Complete","Missing "&amp;(COUNTBLANK(B173:E173)+COUNTBLANK(G173)+COUNTBLANK(P173))&amp;" required"))</f>
        <v/>
      </c>
      <c r="T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>
        <f>IF(A174="","",IF(COUNTBLANK(B174:E174)+COUNTBLANK(G174)+COUNTBLANK(P174)=0,"Complete","Missing "&amp;(COUNTBLANK(B174:E174)+COUNTBLANK(G174)+COUNTBLANK(P174))&amp;" required"))</f>
        <v/>
      </c>
      <c r="T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>
        <f>IF(A175="","",IF(COUNTBLANK(B175:E175)+COUNTBLANK(G175)+COUNTBLANK(P175)=0,"Complete","Missing "&amp;(COUNTBLANK(B175:E175)+COUNTBLANK(G175)+COUNTBLANK(P175))&amp;" required"))</f>
        <v/>
      </c>
      <c r="T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>
        <f>IF(A176="","",IF(COUNTBLANK(B176:E176)+COUNTBLANK(G176)+COUNTBLANK(P176)=0,"Complete","Missing "&amp;(COUNTBLANK(B176:E176)+COUNTBLANK(G176)+COUNTBLANK(P176))&amp;" required"))</f>
        <v/>
      </c>
      <c r="T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>
        <f>IF(A177="","",IF(COUNTBLANK(B177:E177)+COUNTBLANK(G177)+COUNTBLANK(P177)=0,"Complete","Missing "&amp;(COUNTBLANK(B177:E177)+COUNTBLANK(G177)+COUNTBLANK(P177))&amp;" required"))</f>
        <v/>
      </c>
      <c r="T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>
        <f>IF(A178="","",IF(COUNTBLANK(B178:E178)+COUNTBLANK(G178)+COUNTBLANK(P178)=0,"Complete","Missing "&amp;(COUNTBLANK(B178:E178)+COUNTBLANK(G178)+COUNTBLANK(P178))&amp;" required"))</f>
        <v/>
      </c>
      <c r="T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>
        <f>IF(A179="","",IF(COUNTBLANK(B179:E179)+COUNTBLANK(G179)+COUNTBLANK(P179)=0,"Complete","Missing "&amp;(COUNTBLANK(B179:E179)+COUNTBLANK(G179)+COUNTBLANK(P179))&amp;" required"))</f>
        <v/>
      </c>
      <c r="T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>
        <f>IF(A180="","",IF(COUNTBLANK(B180:E180)+COUNTBLANK(G180)+COUNTBLANK(P180)=0,"Complete","Missing "&amp;(COUNTBLANK(B180:E180)+COUNTBLANK(G180)+COUNTBLANK(P180))&amp;" required"))</f>
        <v/>
      </c>
      <c r="T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>
        <f>IF(A181="","",IF(COUNTBLANK(B181:E181)+COUNTBLANK(G181)+COUNTBLANK(P181)=0,"Complete","Missing "&amp;(COUNTBLANK(B181:E181)+COUNTBLANK(G181)+COUNTBLANK(P181))&amp;" required"))</f>
        <v/>
      </c>
      <c r="T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>
        <f>IF(A182="","",IF(COUNTBLANK(B182:E182)+COUNTBLANK(G182)+COUNTBLANK(P182)=0,"Complete","Missing "&amp;(COUNTBLANK(B182:E182)+COUNTBLANK(G182)+COUNTBLANK(P182))&amp;" required"))</f>
        <v/>
      </c>
      <c r="T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>
        <f>IF(A183="","",IF(COUNTBLANK(B183:E183)+COUNTBLANK(G183)+COUNTBLANK(P183)=0,"Complete","Missing "&amp;(COUNTBLANK(B183:E183)+COUNTBLANK(G183)+COUNTBLANK(P183))&amp;" required"))</f>
        <v/>
      </c>
      <c r="T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>
        <f>IF(A184="","",IF(COUNTBLANK(B184:E184)+COUNTBLANK(G184)+COUNTBLANK(P184)=0,"Complete","Missing "&amp;(COUNTBLANK(B184:E184)+COUNTBLANK(G184)+COUNTBLANK(P184))&amp;" required"))</f>
        <v/>
      </c>
      <c r="T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>
        <f>IF(A185="","",IF(COUNTBLANK(B185:E185)+COUNTBLANK(G185)+COUNTBLANK(P185)=0,"Complete","Missing "&amp;(COUNTBLANK(B185:E185)+COUNTBLANK(G185)+COUNTBLANK(P185))&amp;" required"))</f>
        <v/>
      </c>
      <c r="T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>
        <f>IF(A186="","",IF(COUNTBLANK(B186:E186)+COUNTBLANK(G186)+COUNTBLANK(P186)=0,"Complete","Missing "&amp;(COUNTBLANK(B186:E186)+COUNTBLANK(G186)+COUNTBLANK(P186))&amp;" required"))</f>
        <v/>
      </c>
      <c r="T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>
        <f>IF(A187="","",IF(COUNTBLANK(B187:E187)+COUNTBLANK(G187)+COUNTBLANK(P187)=0,"Complete","Missing "&amp;(COUNTBLANK(B187:E187)+COUNTBLANK(G187)+COUNTBLANK(P187))&amp;" required"))</f>
        <v/>
      </c>
      <c r="T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>
        <f>IF(A188="","",IF(COUNTBLANK(B188:E188)+COUNTBLANK(G188)+COUNTBLANK(P188)=0,"Complete","Missing "&amp;(COUNTBLANK(B188:E188)+COUNTBLANK(G188)+COUNTBLANK(P188))&amp;" required"))</f>
        <v/>
      </c>
      <c r="T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>
        <f>IF(A189="","",IF(COUNTBLANK(B189:E189)+COUNTBLANK(G189)+COUNTBLANK(P189)=0,"Complete","Missing "&amp;(COUNTBLANK(B189:E189)+COUNTBLANK(G189)+COUNTBLANK(P189))&amp;" required"))</f>
        <v/>
      </c>
      <c r="T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>
        <f>IF(A190="","",IF(COUNTBLANK(B190:E190)+COUNTBLANK(G190)+COUNTBLANK(P190)=0,"Complete","Missing "&amp;(COUNTBLANK(B190:E190)+COUNTBLANK(G190)+COUNTBLANK(P190))&amp;" required"))</f>
        <v/>
      </c>
      <c r="T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>
        <f>IF(A191="","",IF(COUNTBLANK(B191:E191)+COUNTBLANK(G191)+COUNTBLANK(P191)=0,"Complete","Missing "&amp;(COUNTBLANK(B191:E191)+COUNTBLANK(G191)+COUNTBLANK(P191))&amp;" required"))</f>
        <v/>
      </c>
      <c r="T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>
        <f>IF(A192="","",IF(COUNTBLANK(B192:E192)+COUNTBLANK(G192)+COUNTBLANK(P192)=0,"Complete","Missing "&amp;(COUNTBLANK(B192:E192)+COUNTBLANK(G192)+COUNTBLANK(P192))&amp;" required"))</f>
        <v/>
      </c>
      <c r="T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>
        <f>IF(A193="","",IF(COUNTBLANK(B193:E193)+COUNTBLANK(G193)+COUNTBLANK(P193)=0,"Complete","Missing "&amp;(COUNTBLANK(B193:E193)+COUNTBLANK(G193)+COUNTBLANK(P193))&amp;" required"))</f>
        <v/>
      </c>
      <c r="T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>
        <f>IF(A194="","",IF(COUNTBLANK(B194:E194)+COUNTBLANK(G194)+COUNTBLANK(P194)=0,"Complete","Missing "&amp;(COUNTBLANK(B194:E194)+COUNTBLANK(G194)+COUNTBLANK(P194))&amp;" required"))</f>
        <v/>
      </c>
      <c r="T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>
        <f>IF(A195="","",IF(COUNTBLANK(B195:E195)+COUNTBLANK(G195)+COUNTBLANK(P195)=0,"Complete","Missing "&amp;(COUNTBLANK(B195:E195)+COUNTBLANK(G195)+COUNTBLANK(P195))&amp;" required"))</f>
        <v/>
      </c>
      <c r="T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>
        <f>IF(A196="","",IF(COUNTBLANK(B196:E196)+COUNTBLANK(G196)+COUNTBLANK(P196)=0,"Complete","Missing "&amp;(COUNTBLANK(B196:E196)+COUNTBLANK(G196)+COUNTBLANK(P196))&amp;" required"))</f>
        <v/>
      </c>
      <c r="T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>
        <f>IF(A197="","",IF(COUNTBLANK(B197:E197)+COUNTBLANK(G197)+COUNTBLANK(P197)=0,"Complete","Missing "&amp;(COUNTBLANK(B197:E197)+COUNTBLANK(G197)+COUNTBLANK(P197))&amp;" required"))</f>
        <v/>
      </c>
      <c r="T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>
        <f>IF(A198="","",IF(COUNTBLANK(B198:E198)+COUNTBLANK(G198)+COUNTBLANK(P198)=0,"Complete","Missing "&amp;(COUNTBLANK(B198:E198)+COUNTBLANK(G198)+COUNTBLANK(P198))&amp;" required"))</f>
        <v/>
      </c>
      <c r="T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>
        <f>IF(A199="","",IF(COUNTBLANK(B199:E199)+COUNTBLANK(G199)+COUNTBLANK(P199)=0,"Complete","Missing "&amp;(COUNTBLANK(B199:E199)+COUNTBLANK(G199)+COUNTBLANK(P199))&amp;" required"))</f>
        <v/>
      </c>
      <c r="T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>
        <f>IF(A200="","",IF(COUNTBLANK(B200:E200)+COUNTBLANK(G200)+COUNTBLANK(P200)=0,"Complete","Missing "&amp;(COUNTBLANK(B200:E200)+COUNTBLANK(G200)+COUNTBLANK(P200))&amp;" required"))</f>
        <v/>
      </c>
      <c r="T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>
        <f>IF(A201="","",IF(COUNTBLANK(B201:E201)+COUNTBLANK(G201)+COUNTBLANK(P201)=0,"Complete","Missing "&amp;(COUNTBLANK(B201:E201)+COUNTBLANK(G201)+COUNTBLANK(P201))&amp;" required"))</f>
        <v/>
      </c>
      <c r="T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>
        <f>IF(A202="","",IF(COUNTBLANK(B202:E202)+COUNTBLANK(G202)+COUNTBLANK(P202)=0,"Complete","Missing "&amp;(COUNTBLANK(B202:E202)+COUNTBLANK(G202)+COUNTBLANK(P202))&amp;" required"))</f>
        <v/>
      </c>
      <c r="T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>
        <f>IF(A203="","",IF(COUNTBLANK(B203:E203)+COUNTBLANK(G203)+COUNTBLANK(P203)=0,"Complete","Missing "&amp;(COUNTBLANK(B203:E203)+COUNTBLANK(G203)+COUNTBLANK(P203))&amp;" required"))</f>
        <v/>
      </c>
      <c r="T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>
        <f>IF(A204="","",IF(COUNTBLANK(B204:E204)+COUNTBLANK(G204)+COUNTBLANK(P204)=0,"Complete","Missing "&amp;(COUNTBLANK(B204:E204)+COUNTBLANK(G204)+COUNTBLANK(P204))&amp;" required"))</f>
        <v/>
      </c>
      <c r="T204" s="10" t="n"/>
    </row>
  </sheetData>
  <conditionalFormatting sqref="S5:S204">
    <cfRule type="expression" priority="1" dxfId="0">
      <formula>S5="Complete"</formula>
    </cfRule>
    <cfRule type="expression" priority="2" dxfId="1">
      <formula>LEFT(S5,7)="Missing"</formula>
    </cfRule>
  </conditionalFormatting>
  <dataValidations count="6">
    <dataValidation sqref="B5:B204" showDropDown="0" showInputMessage="0" showErrorMessage="0" allowBlank="1" errorTitle="Not in the list" error="That value is not in the list. Keep it only if you need it." type="list" errorStyle="warning">
      <formula1>='1 Sources'!$A$5:$A$204</formula1>
    </dataValidation>
    <dataValidation sqref="C5:C204" showDropDown="0" showInputMessage="0" showErrorMessage="0" allowBlank="1" errorTitle="Not in the list" error="That value is not in the list. Keep it only if you need it." type="list" errorStyle="warning">
      <formula1>=Lists!$H$2:$H$5</formula1>
    </dataValidation>
    <dataValidation sqref="G5:G204" showDropDown="0" showInputMessage="0" showErrorMessage="0" allowBlank="1" errorTitle="Not in the list" error="That value is not in the list. Keep it only if you need it." type="list" errorStyle="warning">
      <formula1>=Lists!$E$2:$E$7</formula1>
    </dataValidation>
    <dataValidation sqref="I5:I204" showDropDown="0" showInputMessage="0" showErrorMessage="0" allowBlank="1" errorTitle="Not in the list" error="That value is not in the list. Keep it only if you need it." type="list" errorStyle="warning">
      <formula1>=Lists!$I$2:$I$5</formula1>
    </dataValidation>
    <dataValidation sqref="M5:M204" showDropDown="0" showInputMessage="0" showErrorMessage="0" allowBlank="1" errorTitle="Not in the list" error="That value is not in the list. Keep it only if you need it." type="list" errorStyle="warning">
      <formula1>=Lists!$F$2:$F$5</formula1>
    </dataValidation>
    <dataValidation sqref="P5:P204" showDropDown="0" showInputMessage="0" showErrorMessage="0" allowBlank="1" errorTitle="Not in the list" error="That value is not in the list. Keep it only if you need it." type="list" errorStyle="warning">
      <formula1>=Lists!$G$2:$G$4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4642A"/>
    <outlinePr summaryBelow="1" summaryRight="1"/>
    <pageSetUpPr/>
  </sheetPr>
  <dimension ref="A1:T2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26" customWidth="1" min="3" max="3"/>
    <col width="34" customWidth="1" min="4" max="4"/>
    <col width="14" customWidth="1" min="5" max="5"/>
    <col width="22" customWidth="1" min="6" max="6"/>
    <col width="28" customWidth="1" min="7" max="7"/>
    <col width="12" customWidth="1" min="8" max="8"/>
    <col width="14" customWidth="1" min="9" max="9"/>
    <col width="24" customWidth="1" min="10" max="10"/>
    <col width="11" customWidth="1" min="11" max="11"/>
    <col width="14" customWidth="1" min="12" max="12"/>
    <col width="14" customWidth="1" min="13" max="13"/>
    <col width="36" customWidth="1" min="14" max="14"/>
    <col width="34" customWidth="1" min="15" max="15"/>
    <col width="24" customWidth="1" min="16" max="16"/>
    <col width="16" customWidth="1" min="17" max="17"/>
    <col width="14" customWidth="1" min="18" max="18"/>
    <col width="18" customWidth="1" min="19" max="19"/>
    <col width="36" customWidth="1" min="20" max="20"/>
  </cols>
  <sheetData>
    <row r="1">
      <c r="A1" s="5" t="inlineStr">
        <is>
          <t>3 Fields: what to track inside each table</t>
        </is>
      </c>
    </row>
    <row r="2">
      <c r="A2" s="6" t="inlineStr">
        <is>
          <t>One row per field that matters, taken from a table on tab 2. Say which KPI it feeds, and write down any time bound or exception, so the later check for gaps can match it.</t>
        </is>
      </c>
    </row>
    <row r="3" ht="36" customHeight="1">
      <c r="A3" s="7" t="inlineStr">
        <is>
          <t>F001, F002 ...</t>
        </is>
      </c>
      <c r="B3" s="7" t="inlineStr">
        <is>
          <t>From tab 2</t>
        </is>
      </c>
      <c r="C3" s="7" t="inlineStr">
        <is>
          <t>Exactly as written there</t>
        </is>
      </c>
      <c r="D3" s="7" t="inlineStr">
        <is>
          <t>In your words</t>
        </is>
      </c>
      <c r="E3" s="7" t="inlineStr">
        <is>
          <t>Pick one</t>
        </is>
      </c>
      <c r="F3" s="7" t="inlineStr">
        <is>
          <t>For example YYYY-MM-DD, SGD</t>
        </is>
      </c>
      <c r="G3" s="7" t="inlineStr">
        <is>
          <t>A list or a minimum and maximum</t>
        </is>
      </c>
      <c r="H3" s="7" t="inlineStr">
        <is>
          <t>KPI ID from tab 5. If a field feeds more than one KPI, add a row for each</t>
        </is>
      </c>
      <c r="I3" s="7" t="inlineStr">
        <is>
          <t>Pick one</t>
        </is>
      </c>
      <c r="J3" s="7" t="inlineStr">
        <is>
          <t>Pick one</t>
        </is>
      </c>
      <c r="K3" s="7" t="inlineStr">
        <is>
          <t>Pick one</t>
        </is>
      </c>
      <c r="L3" s="7" t="inlineStr">
        <is>
          <t>Time bound: start date</t>
        </is>
      </c>
      <c r="M3" s="7" t="inlineStr">
        <is>
          <t>Time bound: end date</t>
        </is>
      </c>
      <c r="N3" s="7" t="inlineStr">
        <is>
          <t>When it is wrong or missing</t>
        </is>
      </c>
      <c r="O3" s="7" t="inlineStr">
        <is>
          <t>What people do about it</t>
        </is>
      </c>
      <c r="P3" s="7" t="inlineStr">
        <is>
          <t>Stated, guessed or unknown</t>
        </is>
      </c>
      <c r="Q3" s="7" t="inlineStr">
        <is>
          <t>Name</t>
        </is>
      </c>
      <c r="R3" s="7" t="inlineStr">
        <is>
          <t>Date</t>
        </is>
      </c>
      <c r="S3" s="7" t="inlineStr">
        <is>
          <t>Filled in for you</t>
        </is>
      </c>
      <c r="T3" s="7" t="inlineStr">
        <is>
          <t>Anything else</t>
        </is>
      </c>
    </row>
    <row r="4" ht="44" customHeight="1">
      <c r="A4" s="8" t="inlineStr">
        <is>
          <t>Field ID</t>
        </is>
      </c>
      <c r="B4" s="8" t="inlineStr">
        <is>
          <t>Item ID</t>
        </is>
      </c>
      <c r="C4" s="8" t="inlineStr">
        <is>
          <t>Field name as in the source</t>
        </is>
      </c>
      <c r="D4" s="8" t="inlineStr">
        <is>
          <t>Business meaning</t>
        </is>
      </c>
      <c r="E4" s="8" t="inlineStr">
        <is>
          <t>Data type</t>
        </is>
      </c>
      <c r="F4" s="8" t="inlineStr">
        <is>
          <t>Format or unit</t>
        </is>
      </c>
      <c r="G4" s="8" t="inlineStr">
        <is>
          <t>Allowed values or range</t>
        </is>
      </c>
      <c r="H4" s="8" t="inlineStr">
        <is>
          <t>Feeds KPI</t>
        </is>
      </c>
      <c r="I4" s="8" t="inlineStr">
        <is>
          <t>Role in the KPI</t>
        </is>
      </c>
      <c r="J4" s="8" t="inlineStr">
        <is>
          <t>Personal data class</t>
        </is>
      </c>
      <c r="K4" s="8" t="inlineStr">
        <is>
          <t>Required?</t>
        </is>
      </c>
      <c r="L4" s="8" t="inlineStr">
        <is>
          <t>Valid from</t>
        </is>
      </c>
      <c r="M4" s="8" t="inlineStr">
        <is>
          <t>Valid to</t>
        </is>
      </c>
      <c r="N4" s="8" t="inlineStr">
        <is>
          <t>Exception or special case</t>
        </is>
      </c>
      <c r="O4" s="8" t="inlineStr">
        <is>
          <t>How the exception is handled</t>
        </is>
      </c>
      <c r="P4" s="8" t="inlineStr">
        <is>
          <t>How sure are we</t>
        </is>
      </c>
      <c r="Q4" s="8" t="inlineStr">
        <is>
          <t>Confirmed by</t>
        </is>
      </c>
      <c r="R4" s="8" t="inlineStr">
        <is>
          <t>Date confirmed</t>
        </is>
      </c>
      <c r="S4" s="8" t="inlineStr">
        <is>
          <t>Complete?</t>
        </is>
      </c>
      <c r="T4" s="8" t="inlineStr">
        <is>
          <t>Notes</t>
        </is>
      </c>
    </row>
    <row r="5">
      <c r="A5" s="9" t="inlineStr">
        <is>
          <t>F001</t>
        </is>
      </c>
      <c r="B5" s="9" t="inlineStr">
        <is>
          <t>T01</t>
        </is>
      </c>
      <c r="C5" s="9" t="inlineStr">
        <is>
          <t>closing_balance</t>
        </is>
      </c>
      <c r="D5" s="9" t="inlineStr">
        <is>
          <t>Cash at the end of the day</t>
        </is>
      </c>
      <c r="E5" s="9" t="inlineStr">
        <is>
          <t>Number</t>
        </is>
      </c>
      <c r="F5" s="9" t="inlineStr">
        <is>
          <t>SGD</t>
        </is>
      </c>
      <c r="G5" s="9" t="inlineStr">
        <is>
          <t>Zero or more</t>
        </is>
      </c>
      <c r="H5" s="9" t="inlineStr">
        <is>
          <t>K02</t>
        </is>
      </c>
      <c r="I5" s="9" t="inlineStr">
        <is>
          <t>Measure</t>
        </is>
      </c>
      <c r="J5" s="9" t="inlineStr">
        <is>
          <t>Neither</t>
        </is>
      </c>
      <c r="K5" s="9" t="inlineStr">
        <is>
          <t>Yes</t>
        </is>
      </c>
      <c r="L5" s="9" t="n"/>
      <c r="M5" s="9" t="n"/>
      <c r="N5" s="9" t="inlineStr">
        <is>
          <t>Wrong on bank holidays</t>
        </is>
      </c>
      <c r="O5" s="9" t="inlineStr">
        <is>
          <t>Use the last working day</t>
        </is>
      </c>
      <c r="P5" s="9" t="inlineStr">
        <is>
          <t>Stated by a named person</t>
        </is>
      </c>
      <c r="Q5" s="9" t="inlineStr">
        <is>
          <t>Arjun</t>
        </is>
      </c>
      <c r="R5" s="9" t="n"/>
      <c r="S5" s="10">
        <f>IF(A5="","",IF(COUNTBLANK(B5:E5)+COUNTBLANK(H5)+COUNTBLANK(J5)+COUNTBLANK(P5)=0,"Complete","Missing "&amp;(COUNTBLANK(B5:E5)+COUNTBLANK(H5)+COUNTBLANK(J5)+COUNTBLANK(P5))&amp;" required"))</f>
        <v/>
      </c>
      <c r="T5" s="9" t="inlineStr">
        <is>
          <t>EXAMPLE ROW: delete before use</t>
        </is>
      </c>
    </row>
    <row r="6">
      <c r="A6" s="9" t="inlineStr">
        <is>
          <t>F002</t>
        </is>
      </c>
      <c r="B6" s="9" t="inlineStr">
        <is>
          <t>T01</t>
        </is>
      </c>
      <c r="C6" s="9" t="inlineStr">
        <is>
          <t>account_no</t>
        </is>
      </c>
      <c r="D6" s="9" t="inlineStr">
        <is>
          <t>Which account the balance is for</t>
        </is>
      </c>
      <c r="E6" s="9" t="inlineStr">
        <is>
          <t>Text</t>
        </is>
      </c>
      <c r="F6" s="9" t="n"/>
      <c r="G6" s="9" t="n"/>
      <c r="H6" s="9" t="inlineStr">
        <is>
          <t>K02</t>
        </is>
      </c>
      <c r="I6" s="9" t="inlineStr">
        <is>
          <t>Key</t>
        </is>
      </c>
      <c r="J6" s="9" t="inlineStr">
        <is>
          <t>Sensitive to the business</t>
        </is>
      </c>
      <c r="K6" s="9" t="inlineStr">
        <is>
          <t>Yes</t>
        </is>
      </c>
      <c r="L6" s="9" t="n"/>
      <c r="M6" s="9" t="n"/>
      <c r="N6" s="9" t="n"/>
      <c r="O6" s="9" t="n"/>
      <c r="P6" s="9" t="inlineStr">
        <is>
          <t>Guessed</t>
        </is>
      </c>
      <c r="Q6" s="9" t="n"/>
      <c r="R6" s="9" t="n"/>
      <c r="S6" s="10">
        <f>IF(A6="","",IF(COUNTBLANK(B6:E6)+COUNTBLANK(H6)+COUNTBLANK(J6)+COUNTBLANK(P6)=0,"Complete","Missing "&amp;(COUNTBLANK(B6:E6)+COUNTBLANK(H6)+COUNTBLANK(J6)+COUNTBLANK(P6))&amp;" required"))</f>
        <v/>
      </c>
      <c r="T6" s="9" t="inlineStr">
        <is>
          <t>EXAMPLE ROW: delete before use</t>
        </is>
      </c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>
        <f>IF(A7="","",IF(COUNTBLANK(B7:E7)+COUNTBLANK(H7)+COUNTBLANK(J7)+COUNTBLANK(P7)=0,"Complete","Missing "&amp;(COUNTBLANK(B7:E7)+COUNTBLANK(H7)+COUNTBLANK(J7)+COUNTBLANK(P7))&amp;" required"))</f>
        <v/>
      </c>
      <c r="T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>
        <f>IF(A8="","",IF(COUNTBLANK(B8:E8)+COUNTBLANK(H8)+COUNTBLANK(J8)+COUNTBLANK(P8)=0,"Complete","Missing "&amp;(COUNTBLANK(B8:E8)+COUNTBLANK(H8)+COUNTBLANK(J8)+COUNTBLANK(P8))&amp;" required"))</f>
        <v/>
      </c>
      <c r="T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>
        <f>IF(A9="","",IF(COUNTBLANK(B9:E9)+COUNTBLANK(H9)+COUNTBLANK(J9)+COUNTBLANK(P9)=0,"Complete","Missing "&amp;(COUNTBLANK(B9:E9)+COUNTBLANK(H9)+COUNTBLANK(J9)+COUNTBLANK(P9))&amp;" required"))</f>
        <v/>
      </c>
      <c r="T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>
        <f>IF(A10="","",IF(COUNTBLANK(B10:E10)+COUNTBLANK(H10)+COUNTBLANK(J10)+COUNTBLANK(P10)=0,"Complete","Missing "&amp;(COUNTBLANK(B10:E10)+COUNTBLANK(H10)+COUNTBLANK(J10)+COUNTBLANK(P10))&amp;" required"))</f>
        <v/>
      </c>
      <c r="T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>
        <f>IF(A11="","",IF(COUNTBLANK(B11:E11)+COUNTBLANK(H11)+COUNTBLANK(J11)+COUNTBLANK(P11)=0,"Complete","Missing "&amp;(COUNTBLANK(B11:E11)+COUNTBLANK(H11)+COUNTBLANK(J11)+COUNTBLANK(P11))&amp;" required"))</f>
        <v/>
      </c>
      <c r="T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>
        <f>IF(A12="","",IF(COUNTBLANK(B12:E12)+COUNTBLANK(H12)+COUNTBLANK(J12)+COUNTBLANK(P12)=0,"Complete","Missing "&amp;(COUNTBLANK(B12:E12)+COUNTBLANK(H12)+COUNTBLANK(J12)+COUNTBLANK(P12))&amp;" required"))</f>
        <v/>
      </c>
      <c r="T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>
        <f>IF(A13="","",IF(COUNTBLANK(B13:E13)+COUNTBLANK(H13)+COUNTBLANK(J13)+COUNTBLANK(P13)=0,"Complete","Missing "&amp;(COUNTBLANK(B13:E13)+COUNTBLANK(H13)+COUNTBLANK(J13)+COUNTBLANK(P13))&amp;" required"))</f>
        <v/>
      </c>
      <c r="T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>
        <f>IF(A14="","",IF(COUNTBLANK(B14:E14)+COUNTBLANK(H14)+COUNTBLANK(J14)+COUNTBLANK(P14)=0,"Complete","Missing "&amp;(COUNTBLANK(B14:E14)+COUNTBLANK(H14)+COUNTBLANK(J14)+COUNTBLANK(P14))&amp;" required"))</f>
        <v/>
      </c>
      <c r="T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>
        <f>IF(A15="","",IF(COUNTBLANK(B15:E15)+COUNTBLANK(H15)+COUNTBLANK(J15)+COUNTBLANK(P15)=0,"Complete","Missing "&amp;(COUNTBLANK(B15:E15)+COUNTBLANK(H15)+COUNTBLANK(J15)+COUNTBLANK(P15))&amp;" required"))</f>
        <v/>
      </c>
      <c r="T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>
        <f>IF(A16="","",IF(COUNTBLANK(B16:E16)+COUNTBLANK(H16)+COUNTBLANK(J16)+COUNTBLANK(P16)=0,"Complete","Missing "&amp;(COUNTBLANK(B16:E16)+COUNTBLANK(H16)+COUNTBLANK(J16)+COUNTBLANK(P16))&amp;" required"))</f>
        <v/>
      </c>
      <c r="T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>
        <f>IF(A17="","",IF(COUNTBLANK(B17:E17)+COUNTBLANK(H17)+COUNTBLANK(J17)+COUNTBLANK(P17)=0,"Complete","Missing "&amp;(COUNTBLANK(B17:E17)+COUNTBLANK(H17)+COUNTBLANK(J17)+COUNTBLANK(P17))&amp;" required"))</f>
        <v/>
      </c>
      <c r="T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>
        <f>IF(A18="","",IF(COUNTBLANK(B18:E18)+COUNTBLANK(H18)+COUNTBLANK(J18)+COUNTBLANK(P18)=0,"Complete","Missing "&amp;(COUNTBLANK(B18:E18)+COUNTBLANK(H18)+COUNTBLANK(J18)+COUNTBLANK(P18))&amp;" required"))</f>
        <v/>
      </c>
      <c r="T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>
        <f>IF(A19="","",IF(COUNTBLANK(B19:E19)+COUNTBLANK(H19)+COUNTBLANK(J19)+COUNTBLANK(P19)=0,"Complete","Missing "&amp;(COUNTBLANK(B19:E19)+COUNTBLANK(H19)+COUNTBLANK(J19)+COUNTBLANK(P19))&amp;" required"))</f>
        <v/>
      </c>
      <c r="T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>
        <f>IF(A20="","",IF(COUNTBLANK(B20:E20)+COUNTBLANK(H20)+COUNTBLANK(J20)+COUNTBLANK(P20)=0,"Complete","Missing "&amp;(COUNTBLANK(B20:E20)+COUNTBLANK(H20)+COUNTBLANK(J20)+COUNTBLANK(P20))&amp;" required"))</f>
        <v/>
      </c>
      <c r="T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>
        <f>IF(A21="","",IF(COUNTBLANK(B21:E21)+COUNTBLANK(H21)+COUNTBLANK(J21)+COUNTBLANK(P21)=0,"Complete","Missing "&amp;(COUNTBLANK(B21:E21)+COUNTBLANK(H21)+COUNTBLANK(J21)+COUNTBLANK(P21))&amp;" required"))</f>
        <v/>
      </c>
      <c r="T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>
        <f>IF(A22="","",IF(COUNTBLANK(B22:E22)+COUNTBLANK(H22)+COUNTBLANK(J22)+COUNTBLANK(P22)=0,"Complete","Missing "&amp;(COUNTBLANK(B22:E22)+COUNTBLANK(H22)+COUNTBLANK(J22)+COUNTBLANK(P22))&amp;" required"))</f>
        <v/>
      </c>
      <c r="T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>
        <f>IF(A23="","",IF(COUNTBLANK(B23:E23)+COUNTBLANK(H23)+COUNTBLANK(J23)+COUNTBLANK(P23)=0,"Complete","Missing "&amp;(COUNTBLANK(B23:E23)+COUNTBLANK(H23)+COUNTBLANK(J23)+COUNTBLANK(P23))&amp;" required"))</f>
        <v/>
      </c>
      <c r="T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>
        <f>IF(A24="","",IF(COUNTBLANK(B24:E24)+COUNTBLANK(H24)+COUNTBLANK(J24)+COUNTBLANK(P24)=0,"Complete","Missing "&amp;(COUNTBLANK(B24:E24)+COUNTBLANK(H24)+COUNTBLANK(J24)+COUNTBLANK(P24))&amp;" required"))</f>
        <v/>
      </c>
      <c r="T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>
        <f>IF(A25="","",IF(COUNTBLANK(B25:E25)+COUNTBLANK(H25)+COUNTBLANK(J25)+COUNTBLANK(P25)=0,"Complete","Missing "&amp;(COUNTBLANK(B25:E25)+COUNTBLANK(H25)+COUNTBLANK(J25)+COUNTBLANK(P25))&amp;" required"))</f>
        <v/>
      </c>
      <c r="T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>
        <f>IF(A26="","",IF(COUNTBLANK(B26:E26)+COUNTBLANK(H26)+COUNTBLANK(J26)+COUNTBLANK(P26)=0,"Complete","Missing "&amp;(COUNTBLANK(B26:E26)+COUNTBLANK(H26)+COUNTBLANK(J26)+COUNTBLANK(P26))&amp;" required"))</f>
        <v/>
      </c>
      <c r="T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>
        <f>IF(A27="","",IF(COUNTBLANK(B27:E27)+COUNTBLANK(H27)+COUNTBLANK(J27)+COUNTBLANK(P27)=0,"Complete","Missing "&amp;(COUNTBLANK(B27:E27)+COUNTBLANK(H27)+COUNTBLANK(J27)+COUNTBLANK(P27))&amp;" required"))</f>
        <v/>
      </c>
      <c r="T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>
        <f>IF(A28="","",IF(COUNTBLANK(B28:E28)+COUNTBLANK(H28)+COUNTBLANK(J28)+COUNTBLANK(P28)=0,"Complete","Missing "&amp;(COUNTBLANK(B28:E28)+COUNTBLANK(H28)+COUNTBLANK(J28)+COUNTBLANK(P28))&amp;" required"))</f>
        <v/>
      </c>
      <c r="T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>
        <f>IF(A29="","",IF(COUNTBLANK(B29:E29)+COUNTBLANK(H29)+COUNTBLANK(J29)+COUNTBLANK(P29)=0,"Complete","Missing "&amp;(COUNTBLANK(B29:E29)+COUNTBLANK(H29)+COUNTBLANK(J29)+COUNTBLANK(P29))&amp;" required"))</f>
        <v/>
      </c>
      <c r="T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>
        <f>IF(A30="","",IF(COUNTBLANK(B30:E30)+COUNTBLANK(H30)+COUNTBLANK(J30)+COUNTBLANK(P30)=0,"Complete","Missing "&amp;(COUNTBLANK(B30:E30)+COUNTBLANK(H30)+COUNTBLANK(J30)+COUNTBLANK(P30))&amp;" required"))</f>
        <v/>
      </c>
      <c r="T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>
        <f>IF(A31="","",IF(COUNTBLANK(B31:E31)+COUNTBLANK(H31)+COUNTBLANK(J31)+COUNTBLANK(P31)=0,"Complete","Missing "&amp;(COUNTBLANK(B31:E31)+COUNTBLANK(H31)+COUNTBLANK(J31)+COUNTBLANK(P31))&amp;" required"))</f>
        <v/>
      </c>
      <c r="T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>
        <f>IF(A32="","",IF(COUNTBLANK(B32:E32)+COUNTBLANK(H32)+COUNTBLANK(J32)+COUNTBLANK(P32)=0,"Complete","Missing "&amp;(COUNTBLANK(B32:E32)+COUNTBLANK(H32)+COUNTBLANK(J32)+COUNTBLANK(P32))&amp;" required"))</f>
        <v/>
      </c>
      <c r="T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>
        <f>IF(A33="","",IF(COUNTBLANK(B33:E33)+COUNTBLANK(H33)+COUNTBLANK(J33)+COUNTBLANK(P33)=0,"Complete","Missing "&amp;(COUNTBLANK(B33:E33)+COUNTBLANK(H33)+COUNTBLANK(J33)+COUNTBLANK(P33))&amp;" required"))</f>
        <v/>
      </c>
      <c r="T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>
        <f>IF(A34="","",IF(COUNTBLANK(B34:E34)+COUNTBLANK(H34)+COUNTBLANK(J34)+COUNTBLANK(P34)=0,"Complete","Missing "&amp;(COUNTBLANK(B34:E34)+COUNTBLANK(H34)+COUNTBLANK(J34)+COUNTBLANK(P34))&amp;" required"))</f>
        <v/>
      </c>
      <c r="T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>
        <f>IF(A35="","",IF(COUNTBLANK(B35:E35)+COUNTBLANK(H35)+COUNTBLANK(J35)+COUNTBLANK(P35)=0,"Complete","Missing "&amp;(COUNTBLANK(B35:E35)+COUNTBLANK(H35)+COUNTBLANK(J35)+COUNTBLANK(P35))&amp;" required"))</f>
        <v/>
      </c>
      <c r="T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>
        <f>IF(A36="","",IF(COUNTBLANK(B36:E36)+COUNTBLANK(H36)+COUNTBLANK(J36)+COUNTBLANK(P36)=0,"Complete","Missing "&amp;(COUNTBLANK(B36:E36)+COUNTBLANK(H36)+COUNTBLANK(J36)+COUNTBLANK(P36))&amp;" required"))</f>
        <v/>
      </c>
      <c r="T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>
        <f>IF(A37="","",IF(COUNTBLANK(B37:E37)+COUNTBLANK(H37)+COUNTBLANK(J37)+COUNTBLANK(P37)=0,"Complete","Missing "&amp;(COUNTBLANK(B37:E37)+COUNTBLANK(H37)+COUNTBLANK(J37)+COUNTBLANK(P37))&amp;" required"))</f>
        <v/>
      </c>
      <c r="T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>
        <f>IF(A38="","",IF(COUNTBLANK(B38:E38)+COUNTBLANK(H38)+COUNTBLANK(J38)+COUNTBLANK(P38)=0,"Complete","Missing "&amp;(COUNTBLANK(B38:E38)+COUNTBLANK(H38)+COUNTBLANK(J38)+COUNTBLANK(P38))&amp;" required"))</f>
        <v/>
      </c>
      <c r="T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>
        <f>IF(A39="","",IF(COUNTBLANK(B39:E39)+COUNTBLANK(H39)+COUNTBLANK(J39)+COUNTBLANK(P39)=0,"Complete","Missing "&amp;(COUNTBLANK(B39:E39)+COUNTBLANK(H39)+COUNTBLANK(J39)+COUNTBLANK(P39))&amp;" required"))</f>
        <v/>
      </c>
      <c r="T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>
        <f>IF(A40="","",IF(COUNTBLANK(B40:E40)+COUNTBLANK(H40)+COUNTBLANK(J40)+COUNTBLANK(P40)=0,"Complete","Missing "&amp;(COUNTBLANK(B40:E40)+COUNTBLANK(H40)+COUNTBLANK(J40)+COUNTBLANK(P40))&amp;" required"))</f>
        <v/>
      </c>
      <c r="T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>
        <f>IF(A41="","",IF(COUNTBLANK(B41:E41)+COUNTBLANK(H41)+COUNTBLANK(J41)+COUNTBLANK(P41)=0,"Complete","Missing "&amp;(COUNTBLANK(B41:E41)+COUNTBLANK(H41)+COUNTBLANK(J41)+COUNTBLANK(P41))&amp;" required"))</f>
        <v/>
      </c>
      <c r="T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>
        <f>IF(A42="","",IF(COUNTBLANK(B42:E42)+COUNTBLANK(H42)+COUNTBLANK(J42)+COUNTBLANK(P42)=0,"Complete","Missing "&amp;(COUNTBLANK(B42:E42)+COUNTBLANK(H42)+COUNTBLANK(J42)+COUNTBLANK(P42))&amp;" required"))</f>
        <v/>
      </c>
      <c r="T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>
        <f>IF(A43="","",IF(COUNTBLANK(B43:E43)+COUNTBLANK(H43)+COUNTBLANK(J43)+COUNTBLANK(P43)=0,"Complete","Missing "&amp;(COUNTBLANK(B43:E43)+COUNTBLANK(H43)+COUNTBLANK(J43)+COUNTBLANK(P43))&amp;" required"))</f>
        <v/>
      </c>
      <c r="T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>
        <f>IF(A44="","",IF(COUNTBLANK(B44:E44)+COUNTBLANK(H44)+COUNTBLANK(J44)+COUNTBLANK(P44)=0,"Complete","Missing "&amp;(COUNTBLANK(B44:E44)+COUNTBLANK(H44)+COUNTBLANK(J44)+COUNTBLANK(P44))&amp;" required"))</f>
        <v/>
      </c>
      <c r="T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>
        <f>IF(A45="","",IF(COUNTBLANK(B45:E45)+COUNTBLANK(H45)+COUNTBLANK(J45)+COUNTBLANK(P45)=0,"Complete","Missing "&amp;(COUNTBLANK(B45:E45)+COUNTBLANK(H45)+COUNTBLANK(J45)+COUNTBLANK(P45))&amp;" required"))</f>
        <v/>
      </c>
      <c r="T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>
        <f>IF(A46="","",IF(COUNTBLANK(B46:E46)+COUNTBLANK(H46)+COUNTBLANK(J46)+COUNTBLANK(P46)=0,"Complete","Missing "&amp;(COUNTBLANK(B46:E46)+COUNTBLANK(H46)+COUNTBLANK(J46)+COUNTBLANK(P46))&amp;" required"))</f>
        <v/>
      </c>
      <c r="T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>
        <f>IF(A47="","",IF(COUNTBLANK(B47:E47)+COUNTBLANK(H47)+COUNTBLANK(J47)+COUNTBLANK(P47)=0,"Complete","Missing "&amp;(COUNTBLANK(B47:E47)+COUNTBLANK(H47)+COUNTBLANK(J47)+COUNTBLANK(P47))&amp;" required"))</f>
        <v/>
      </c>
      <c r="T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>
        <f>IF(A48="","",IF(COUNTBLANK(B48:E48)+COUNTBLANK(H48)+COUNTBLANK(J48)+COUNTBLANK(P48)=0,"Complete","Missing "&amp;(COUNTBLANK(B48:E48)+COUNTBLANK(H48)+COUNTBLANK(J48)+COUNTBLANK(P48))&amp;" required"))</f>
        <v/>
      </c>
      <c r="T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>
        <f>IF(A49="","",IF(COUNTBLANK(B49:E49)+COUNTBLANK(H49)+COUNTBLANK(J49)+COUNTBLANK(P49)=0,"Complete","Missing "&amp;(COUNTBLANK(B49:E49)+COUNTBLANK(H49)+COUNTBLANK(J49)+COUNTBLANK(P49))&amp;" required"))</f>
        <v/>
      </c>
      <c r="T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>
        <f>IF(A50="","",IF(COUNTBLANK(B50:E50)+COUNTBLANK(H50)+COUNTBLANK(J50)+COUNTBLANK(P50)=0,"Complete","Missing "&amp;(COUNTBLANK(B50:E50)+COUNTBLANK(H50)+COUNTBLANK(J50)+COUNTBLANK(P50))&amp;" required"))</f>
        <v/>
      </c>
      <c r="T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>
        <f>IF(A51="","",IF(COUNTBLANK(B51:E51)+COUNTBLANK(H51)+COUNTBLANK(J51)+COUNTBLANK(P51)=0,"Complete","Missing "&amp;(COUNTBLANK(B51:E51)+COUNTBLANK(H51)+COUNTBLANK(J51)+COUNTBLANK(P51))&amp;" required"))</f>
        <v/>
      </c>
      <c r="T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>
        <f>IF(A52="","",IF(COUNTBLANK(B52:E52)+COUNTBLANK(H52)+COUNTBLANK(J52)+COUNTBLANK(P52)=0,"Complete","Missing "&amp;(COUNTBLANK(B52:E52)+COUNTBLANK(H52)+COUNTBLANK(J52)+COUNTBLANK(P52))&amp;" required"))</f>
        <v/>
      </c>
      <c r="T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>
        <f>IF(A53="","",IF(COUNTBLANK(B53:E53)+COUNTBLANK(H53)+COUNTBLANK(J53)+COUNTBLANK(P53)=0,"Complete","Missing "&amp;(COUNTBLANK(B53:E53)+COUNTBLANK(H53)+COUNTBLANK(J53)+COUNTBLANK(P53))&amp;" required"))</f>
        <v/>
      </c>
      <c r="T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>
        <f>IF(A54="","",IF(COUNTBLANK(B54:E54)+COUNTBLANK(H54)+COUNTBLANK(J54)+COUNTBLANK(P54)=0,"Complete","Missing "&amp;(COUNTBLANK(B54:E54)+COUNTBLANK(H54)+COUNTBLANK(J54)+COUNTBLANK(P54))&amp;" required"))</f>
        <v/>
      </c>
      <c r="T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>
        <f>IF(A55="","",IF(COUNTBLANK(B55:E55)+COUNTBLANK(H55)+COUNTBLANK(J55)+COUNTBLANK(P55)=0,"Complete","Missing "&amp;(COUNTBLANK(B55:E55)+COUNTBLANK(H55)+COUNTBLANK(J55)+COUNTBLANK(P55))&amp;" required"))</f>
        <v/>
      </c>
      <c r="T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>
        <f>IF(A56="","",IF(COUNTBLANK(B56:E56)+COUNTBLANK(H56)+COUNTBLANK(J56)+COUNTBLANK(P56)=0,"Complete","Missing "&amp;(COUNTBLANK(B56:E56)+COUNTBLANK(H56)+COUNTBLANK(J56)+COUNTBLANK(P56))&amp;" required"))</f>
        <v/>
      </c>
      <c r="T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>
        <f>IF(A57="","",IF(COUNTBLANK(B57:E57)+COUNTBLANK(H57)+COUNTBLANK(J57)+COUNTBLANK(P57)=0,"Complete","Missing "&amp;(COUNTBLANK(B57:E57)+COUNTBLANK(H57)+COUNTBLANK(J57)+COUNTBLANK(P57))&amp;" required"))</f>
        <v/>
      </c>
      <c r="T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>
        <f>IF(A58="","",IF(COUNTBLANK(B58:E58)+COUNTBLANK(H58)+COUNTBLANK(J58)+COUNTBLANK(P58)=0,"Complete","Missing "&amp;(COUNTBLANK(B58:E58)+COUNTBLANK(H58)+COUNTBLANK(J58)+COUNTBLANK(P58))&amp;" required"))</f>
        <v/>
      </c>
      <c r="T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>
        <f>IF(A59="","",IF(COUNTBLANK(B59:E59)+COUNTBLANK(H59)+COUNTBLANK(J59)+COUNTBLANK(P59)=0,"Complete","Missing "&amp;(COUNTBLANK(B59:E59)+COUNTBLANK(H59)+COUNTBLANK(J59)+COUNTBLANK(P59))&amp;" required"))</f>
        <v/>
      </c>
      <c r="T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>
        <f>IF(A60="","",IF(COUNTBLANK(B60:E60)+COUNTBLANK(H60)+COUNTBLANK(J60)+COUNTBLANK(P60)=0,"Complete","Missing "&amp;(COUNTBLANK(B60:E60)+COUNTBLANK(H60)+COUNTBLANK(J60)+COUNTBLANK(P60))&amp;" required"))</f>
        <v/>
      </c>
      <c r="T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>
        <f>IF(A61="","",IF(COUNTBLANK(B61:E61)+COUNTBLANK(H61)+COUNTBLANK(J61)+COUNTBLANK(P61)=0,"Complete","Missing "&amp;(COUNTBLANK(B61:E61)+COUNTBLANK(H61)+COUNTBLANK(J61)+COUNTBLANK(P61))&amp;" required"))</f>
        <v/>
      </c>
      <c r="T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>
        <f>IF(A62="","",IF(COUNTBLANK(B62:E62)+COUNTBLANK(H62)+COUNTBLANK(J62)+COUNTBLANK(P62)=0,"Complete","Missing "&amp;(COUNTBLANK(B62:E62)+COUNTBLANK(H62)+COUNTBLANK(J62)+COUNTBLANK(P62))&amp;" required"))</f>
        <v/>
      </c>
      <c r="T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>
        <f>IF(A63="","",IF(COUNTBLANK(B63:E63)+COUNTBLANK(H63)+COUNTBLANK(J63)+COUNTBLANK(P63)=0,"Complete","Missing "&amp;(COUNTBLANK(B63:E63)+COUNTBLANK(H63)+COUNTBLANK(J63)+COUNTBLANK(P63))&amp;" required"))</f>
        <v/>
      </c>
      <c r="T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>
        <f>IF(A64="","",IF(COUNTBLANK(B64:E64)+COUNTBLANK(H64)+COUNTBLANK(J64)+COUNTBLANK(P64)=0,"Complete","Missing "&amp;(COUNTBLANK(B64:E64)+COUNTBLANK(H64)+COUNTBLANK(J64)+COUNTBLANK(P64))&amp;" required"))</f>
        <v/>
      </c>
      <c r="T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>
        <f>IF(A65="","",IF(COUNTBLANK(B65:E65)+COUNTBLANK(H65)+COUNTBLANK(J65)+COUNTBLANK(P65)=0,"Complete","Missing "&amp;(COUNTBLANK(B65:E65)+COUNTBLANK(H65)+COUNTBLANK(J65)+COUNTBLANK(P65))&amp;" required"))</f>
        <v/>
      </c>
      <c r="T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>
        <f>IF(A66="","",IF(COUNTBLANK(B66:E66)+COUNTBLANK(H66)+COUNTBLANK(J66)+COUNTBLANK(P66)=0,"Complete","Missing "&amp;(COUNTBLANK(B66:E66)+COUNTBLANK(H66)+COUNTBLANK(J66)+COUNTBLANK(P66))&amp;" required"))</f>
        <v/>
      </c>
      <c r="T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>
        <f>IF(A67="","",IF(COUNTBLANK(B67:E67)+COUNTBLANK(H67)+COUNTBLANK(J67)+COUNTBLANK(P67)=0,"Complete","Missing "&amp;(COUNTBLANK(B67:E67)+COUNTBLANK(H67)+COUNTBLANK(J67)+COUNTBLANK(P67))&amp;" required"))</f>
        <v/>
      </c>
      <c r="T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>
        <f>IF(A68="","",IF(COUNTBLANK(B68:E68)+COUNTBLANK(H68)+COUNTBLANK(J68)+COUNTBLANK(P68)=0,"Complete","Missing "&amp;(COUNTBLANK(B68:E68)+COUNTBLANK(H68)+COUNTBLANK(J68)+COUNTBLANK(P68))&amp;" required"))</f>
        <v/>
      </c>
      <c r="T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>
        <f>IF(A69="","",IF(COUNTBLANK(B69:E69)+COUNTBLANK(H69)+COUNTBLANK(J69)+COUNTBLANK(P69)=0,"Complete","Missing "&amp;(COUNTBLANK(B69:E69)+COUNTBLANK(H69)+COUNTBLANK(J69)+COUNTBLANK(P69))&amp;" required"))</f>
        <v/>
      </c>
      <c r="T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>
        <f>IF(A70="","",IF(COUNTBLANK(B70:E70)+COUNTBLANK(H70)+COUNTBLANK(J70)+COUNTBLANK(P70)=0,"Complete","Missing "&amp;(COUNTBLANK(B70:E70)+COUNTBLANK(H70)+COUNTBLANK(J70)+COUNTBLANK(P70))&amp;" required"))</f>
        <v/>
      </c>
      <c r="T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>
        <f>IF(A71="","",IF(COUNTBLANK(B71:E71)+COUNTBLANK(H71)+COUNTBLANK(J71)+COUNTBLANK(P71)=0,"Complete","Missing "&amp;(COUNTBLANK(B71:E71)+COUNTBLANK(H71)+COUNTBLANK(J71)+COUNTBLANK(P71))&amp;" required"))</f>
        <v/>
      </c>
      <c r="T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>
        <f>IF(A72="","",IF(COUNTBLANK(B72:E72)+COUNTBLANK(H72)+COUNTBLANK(J72)+COUNTBLANK(P72)=0,"Complete","Missing "&amp;(COUNTBLANK(B72:E72)+COUNTBLANK(H72)+COUNTBLANK(J72)+COUNTBLANK(P72))&amp;" required"))</f>
        <v/>
      </c>
      <c r="T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>
        <f>IF(A73="","",IF(COUNTBLANK(B73:E73)+COUNTBLANK(H73)+COUNTBLANK(J73)+COUNTBLANK(P73)=0,"Complete","Missing "&amp;(COUNTBLANK(B73:E73)+COUNTBLANK(H73)+COUNTBLANK(J73)+COUNTBLANK(P73))&amp;" required"))</f>
        <v/>
      </c>
      <c r="T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>
        <f>IF(A74="","",IF(COUNTBLANK(B74:E74)+COUNTBLANK(H74)+COUNTBLANK(J74)+COUNTBLANK(P74)=0,"Complete","Missing "&amp;(COUNTBLANK(B74:E74)+COUNTBLANK(H74)+COUNTBLANK(J74)+COUNTBLANK(P74))&amp;" required"))</f>
        <v/>
      </c>
      <c r="T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>
        <f>IF(A75="","",IF(COUNTBLANK(B75:E75)+COUNTBLANK(H75)+COUNTBLANK(J75)+COUNTBLANK(P75)=0,"Complete","Missing "&amp;(COUNTBLANK(B75:E75)+COUNTBLANK(H75)+COUNTBLANK(J75)+COUNTBLANK(P75))&amp;" required"))</f>
        <v/>
      </c>
      <c r="T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>
        <f>IF(A76="","",IF(COUNTBLANK(B76:E76)+COUNTBLANK(H76)+COUNTBLANK(J76)+COUNTBLANK(P76)=0,"Complete","Missing "&amp;(COUNTBLANK(B76:E76)+COUNTBLANK(H76)+COUNTBLANK(J76)+COUNTBLANK(P76))&amp;" required"))</f>
        <v/>
      </c>
      <c r="T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>
        <f>IF(A77="","",IF(COUNTBLANK(B77:E77)+COUNTBLANK(H77)+COUNTBLANK(J77)+COUNTBLANK(P77)=0,"Complete","Missing "&amp;(COUNTBLANK(B77:E77)+COUNTBLANK(H77)+COUNTBLANK(J77)+COUNTBLANK(P77))&amp;" required"))</f>
        <v/>
      </c>
      <c r="T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>
        <f>IF(A78="","",IF(COUNTBLANK(B78:E78)+COUNTBLANK(H78)+COUNTBLANK(J78)+COUNTBLANK(P78)=0,"Complete","Missing "&amp;(COUNTBLANK(B78:E78)+COUNTBLANK(H78)+COUNTBLANK(J78)+COUNTBLANK(P78))&amp;" required"))</f>
        <v/>
      </c>
      <c r="T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>
        <f>IF(A79="","",IF(COUNTBLANK(B79:E79)+COUNTBLANK(H79)+COUNTBLANK(J79)+COUNTBLANK(P79)=0,"Complete","Missing "&amp;(COUNTBLANK(B79:E79)+COUNTBLANK(H79)+COUNTBLANK(J79)+COUNTBLANK(P79))&amp;" required"))</f>
        <v/>
      </c>
      <c r="T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>
        <f>IF(A80="","",IF(COUNTBLANK(B80:E80)+COUNTBLANK(H80)+COUNTBLANK(J80)+COUNTBLANK(P80)=0,"Complete","Missing "&amp;(COUNTBLANK(B80:E80)+COUNTBLANK(H80)+COUNTBLANK(J80)+COUNTBLANK(P80))&amp;" required"))</f>
        <v/>
      </c>
      <c r="T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>
        <f>IF(A81="","",IF(COUNTBLANK(B81:E81)+COUNTBLANK(H81)+COUNTBLANK(J81)+COUNTBLANK(P81)=0,"Complete","Missing "&amp;(COUNTBLANK(B81:E81)+COUNTBLANK(H81)+COUNTBLANK(J81)+COUNTBLANK(P81))&amp;" required"))</f>
        <v/>
      </c>
      <c r="T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>
        <f>IF(A82="","",IF(COUNTBLANK(B82:E82)+COUNTBLANK(H82)+COUNTBLANK(J82)+COUNTBLANK(P82)=0,"Complete","Missing "&amp;(COUNTBLANK(B82:E82)+COUNTBLANK(H82)+COUNTBLANK(J82)+COUNTBLANK(P82))&amp;" required"))</f>
        <v/>
      </c>
      <c r="T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>
        <f>IF(A83="","",IF(COUNTBLANK(B83:E83)+COUNTBLANK(H83)+COUNTBLANK(J83)+COUNTBLANK(P83)=0,"Complete","Missing "&amp;(COUNTBLANK(B83:E83)+COUNTBLANK(H83)+COUNTBLANK(J83)+COUNTBLANK(P83))&amp;" required"))</f>
        <v/>
      </c>
      <c r="T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>
        <f>IF(A84="","",IF(COUNTBLANK(B84:E84)+COUNTBLANK(H84)+COUNTBLANK(J84)+COUNTBLANK(P84)=0,"Complete","Missing "&amp;(COUNTBLANK(B84:E84)+COUNTBLANK(H84)+COUNTBLANK(J84)+COUNTBLANK(P84))&amp;" required"))</f>
        <v/>
      </c>
      <c r="T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>
        <f>IF(A85="","",IF(COUNTBLANK(B85:E85)+COUNTBLANK(H85)+COUNTBLANK(J85)+COUNTBLANK(P85)=0,"Complete","Missing "&amp;(COUNTBLANK(B85:E85)+COUNTBLANK(H85)+COUNTBLANK(J85)+COUNTBLANK(P85))&amp;" required"))</f>
        <v/>
      </c>
      <c r="T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>
        <f>IF(A86="","",IF(COUNTBLANK(B86:E86)+COUNTBLANK(H86)+COUNTBLANK(J86)+COUNTBLANK(P86)=0,"Complete","Missing "&amp;(COUNTBLANK(B86:E86)+COUNTBLANK(H86)+COUNTBLANK(J86)+COUNTBLANK(P86))&amp;" required"))</f>
        <v/>
      </c>
      <c r="T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>
        <f>IF(A87="","",IF(COUNTBLANK(B87:E87)+COUNTBLANK(H87)+COUNTBLANK(J87)+COUNTBLANK(P87)=0,"Complete","Missing "&amp;(COUNTBLANK(B87:E87)+COUNTBLANK(H87)+COUNTBLANK(J87)+COUNTBLANK(P87))&amp;" required"))</f>
        <v/>
      </c>
      <c r="T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>
        <f>IF(A88="","",IF(COUNTBLANK(B88:E88)+COUNTBLANK(H88)+COUNTBLANK(J88)+COUNTBLANK(P88)=0,"Complete","Missing "&amp;(COUNTBLANK(B88:E88)+COUNTBLANK(H88)+COUNTBLANK(J88)+COUNTBLANK(P88))&amp;" required"))</f>
        <v/>
      </c>
      <c r="T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>
        <f>IF(A89="","",IF(COUNTBLANK(B89:E89)+COUNTBLANK(H89)+COUNTBLANK(J89)+COUNTBLANK(P89)=0,"Complete","Missing "&amp;(COUNTBLANK(B89:E89)+COUNTBLANK(H89)+COUNTBLANK(J89)+COUNTBLANK(P89))&amp;" required"))</f>
        <v/>
      </c>
      <c r="T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>
        <f>IF(A90="","",IF(COUNTBLANK(B90:E90)+COUNTBLANK(H90)+COUNTBLANK(J90)+COUNTBLANK(P90)=0,"Complete","Missing "&amp;(COUNTBLANK(B90:E90)+COUNTBLANK(H90)+COUNTBLANK(J90)+COUNTBLANK(P90))&amp;" required"))</f>
        <v/>
      </c>
      <c r="T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>
        <f>IF(A91="","",IF(COUNTBLANK(B91:E91)+COUNTBLANK(H91)+COUNTBLANK(J91)+COUNTBLANK(P91)=0,"Complete","Missing "&amp;(COUNTBLANK(B91:E91)+COUNTBLANK(H91)+COUNTBLANK(J91)+COUNTBLANK(P91))&amp;" required"))</f>
        <v/>
      </c>
      <c r="T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>
        <f>IF(A92="","",IF(COUNTBLANK(B92:E92)+COUNTBLANK(H92)+COUNTBLANK(J92)+COUNTBLANK(P92)=0,"Complete","Missing "&amp;(COUNTBLANK(B92:E92)+COUNTBLANK(H92)+COUNTBLANK(J92)+COUNTBLANK(P92))&amp;" required"))</f>
        <v/>
      </c>
      <c r="T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>
        <f>IF(A93="","",IF(COUNTBLANK(B93:E93)+COUNTBLANK(H93)+COUNTBLANK(J93)+COUNTBLANK(P93)=0,"Complete","Missing "&amp;(COUNTBLANK(B93:E93)+COUNTBLANK(H93)+COUNTBLANK(J93)+COUNTBLANK(P93))&amp;" required"))</f>
        <v/>
      </c>
      <c r="T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>
        <f>IF(A94="","",IF(COUNTBLANK(B94:E94)+COUNTBLANK(H94)+COUNTBLANK(J94)+COUNTBLANK(P94)=0,"Complete","Missing "&amp;(COUNTBLANK(B94:E94)+COUNTBLANK(H94)+COUNTBLANK(J94)+COUNTBLANK(P94))&amp;" required"))</f>
        <v/>
      </c>
      <c r="T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>
        <f>IF(A95="","",IF(COUNTBLANK(B95:E95)+COUNTBLANK(H95)+COUNTBLANK(J95)+COUNTBLANK(P95)=0,"Complete","Missing "&amp;(COUNTBLANK(B95:E95)+COUNTBLANK(H95)+COUNTBLANK(J95)+COUNTBLANK(P95))&amp;" required"))</f>
        <v/>
      </c>
      <c r="T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>
        <f>IF(A96="","",IF(COUNTBLANK(B96:E96)+COUNTBLANK(H96)+COUNTBLANK(J96)+COUNTBLANK(P96)=0,"Complete","Missing "&amp;(COUNTBLANK(B96:E96)+COUNTBLANK(H96)+COUNTBLANK(J96)+COUNTBLANK(P96))&amp;" required"))</f>
        <v/>
      </c>
      <c r="T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>
        <f>IF(A97="","",IF(COUNTBLANK(B97:E97)+COUNTBLANK(H97)+COUNTBLANK(J97)+COUNTBLANK(P97)=0,"Complete","Missing "&amp;(COUNTBLANK(B97:E97)+COUNTBLANK(H97)+COUNTBLANK(J97)+COUNTBLANK(P97))&amp;" required"))</f>
        <v/>
      </c>
      <c r="T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>
        <f>IF(A98="","",IF(COUNTBLANK(B98:E98)+COUNTBLANK(H98)+COUNTBLANK(J98)+COUNTBLANK(P98)=0,"Complete","Missing "&amp;(COUNTBLANK(B98:E98)+COUNTBLANK(H98)+COUNTBLANK(J98)+COUNTBLANK(P98))&amp;" required"))</f>
        <v/>
      </c>
      <c r="T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>
        <f>IF(A99="","",IF(COUNTBLANK(B99:E99)+COUNTBLANK(H99)+COUNTBLANK(J99)+COUNTBLANK(P99)=0,"Complete","Missing "&amp;(COUNTBLANK(B99:E99)+COUNTBLANK(H99)+COUNTBLANK(J99)+COUNTBLANK(P99))&amp;" required"))</f>
        <v/>
      </c>
      <c r="T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>
        <f>IF(A100="","",IF(COUNTBLANK(B100:E100)+COUNTBLANK(H100)+COUNTBLANK(J100)+COUNTBLANK(P100)=0,"Complete","Missing "&amp;(COUNTBLANK(B100:E100)+COUNTBLANK(H100)+COUNTBLANK(J100)+COUNTBLANK(P100))&amp;" required"))</f>
        <v/>
      </c>
      <c r="T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>
        <f>IF(A101="","",IF(COUNTBLANK(B101:E101)+COUNTBLANK(H101)+COUNTBLANK(J101)+COUNTBLANK(P101)=0,"Complete","Missing "&amp;(COUNTBLANK(B101:E101)+COUNTBLANK(H101)+COUNTBLANK(J101)+COUNTBLANK(P101))&amp;" required"))</f>
        <v/>
      </c>
      <c r="T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>
        <f>IF(A102="","",IF(COUNTBLANK(B102:E102)+COUNTBLANK(H102)+COUNTBLANK(J102)+COUNTBLANK(P102)=0,"Complete","Missing "&amp;(COUNTBLANK(B102:E102)+COUNTBLANK(H102)+COUNTBLANK(J102)+COUNTBLANK(P102))&amp;" required"))</f>
        <v/>
      </c>
      <c r="T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>
        <f>IF(A103="","",IF(COUNTBLANK(B103:E103)+COUNTBLANK(H103)+COUNTBLANK(J103)+COUNTBLANK(P103)=0,"Complete","Missing "&amp;(COUNTBLANK(B103:E103)+COUNTBLANK(H103)+COUNTBLANK(J103)+COUNTBLANK(P103))&amp;" required"))</f>
        <v/>
      </c>
      <c r="T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>
        <f>IF(A104="","",IF(COUNTBLANK(B104:E104)+COUNTBLANK(H104)+COUNTBLANK(J104)+COUNTBLANK(P104)=0,"Complete","Missing "&amp;(COUNTBLANK(B104:E104)+COUNTBLANK(H104)+COUNTBLANK(J104)+COUNTBLANK(P104))&amp;" required"))</f>
        <v/>
      </c>
      <c r="T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>
        <f>IF(A105="","",IF(COUNTBLANK(B105:E105)+COUNTBLANK(H105)+COUNTBLANK(J105)+COUNTBLANK(P105)=0,"Complete","Missing "&amp;(COUNTBLANK(B105:E105)+COUNTBLANK(H105)+COUNTBLANK(J105)+COUNTBLANK(P105))&amp;" required"))</f>
        <v/>
      </c>
      <c r="T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>
        <f>IF(A106="","",IF(COUNTBLANK(B106:E106)+COUNTBLANK(H106)+COUNTBLANK(J106)+COUNTBLANK(P106)=0,"Complete","Missing "&amp;(COUNTBLANK(B106:E106)+COUNTBLANK(H106)+COUNTBLANK(J106)+COUNTBLANK(P106))&amp;" required"))</f>
        <v/>
      </c>
      <c r="T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>
        <f>IF(A107="","",IF(COUNTBLANK(B107:E107)+COUNTBLANK(H107)+COUNTBLANK(J107)+COUNTBLANK(P107)=0,"Complete","Missing "&amp;(COUNTBLANK(B107:E107)+COUNTBLANK(H107)+COUNTBLANK(J107)+COUNTBLANK(P107))&amp;" required"))</f>
        <v/>
      </c>
      <c r="T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>
        <f>IF(A108="","",IF(COUNTBLANK(B108:E108)+COUNTBLANK(H108)+COUNTBLANK(J108)+COUNTBLANK(P108)=0,"Complete","Missing "&amp;(COUNTBLANK(B108:E108)+COUNTBLANK(H108)+COUNTBLANK(J108)+COUNTBLANK(P108))&amp;" required"))</f>
        <v/>
      </c>
      <c r="T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>
        <f>IF(A109="","",IF(COUNTBLANK(B109:E109)+COUNTBLANK(H109)+COUNTBLANK(J109)+COUNTBLANK(P109)=0,"Complete","Missing "&amp;(COUNTBLANK(B109:E109)+COUNTBLANK(H109)+COUNTBLANK(J109)+COUNTBLANK(P109))&amp;" required"))</f>
        <v/>
      </c>
      <c r="T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>
        <f>IF(A110="","",IF(COUNTBLANK(B110:E110)+COUNTBLANK(H110)+COUNTBLANK(J110)+COUNTBLANK(P110)=0,"Complete","Missing "&amp;(COUNTBLANK(B110:E110)+COUNTBLANK(H110)+COUNTBLANK(J110)+COUNTBLANK(P110))&amp;" required"))</f>
        <v/>
      </c>
      <c r="T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>
        <f>IF(A111="","",IF(COUNTBLANK(B111:E111)+COUNTBLANK(H111)+COUNTBLANK(J111)+COUNTBLANK(P111)=0,"Complete","Missing "&amp;(COUNTBLANK(B111:E111)+COUNTBLANK(H111)+COUNTBLANK(J111)+COUNTBLANK(P111))&amp;" required"))</f>
        <v/>
      </c>
      <c r="T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>
        <f>IF(A112="","",IF(COUNTBLANK(B112:E112)+COUNTBLANK(H112)+COUNTBLANK(J112)+COUNTBLANK(P112)=0,"Complete","Missing "&amp;(COUNTBLANK(B112:E112)+COUNTBLANK(H112)+COUNTBLANK(J112)+COUNTBLANK(P112))&amp;" required"))</f>
        <v/>
      </c>
      <c r="T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>
        <f>IF(A113="","",IF(COUNTBLANK(B113:E113)+COUNTBLANK(H113)+COUNTBLANK(J113)+COUNTBLANK(P113)=0,"Complete","Missing "&amp;(COUNTBLANK(B113:E113)+COUNTBLANK(H113)+COUNTBLANK(J113)+COUNTBLANK(P113))&amp;" required"))</f>
        <v/>
      </c>
      <c r="T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>
        <f>IF(A114="","",IF(COUNTBLANK(B114:E114)+COUNTBLANK(H114)+COUNTBLANK(J114)+COUNTBLANK(P114)=0,"Complete","Missing "&amp;(COUNTBLANK(B114:E114)+COUNTBLANK(H114)+COUNTBLANK(J114)+COUNTBLANK(P114))&amp;" required"))</f>
        <v/>
      </c>
      <c r="T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>
        <f>IF(A115="","",IF(COUNTBLANK(B115:E115)+COUNTBLANK(H115)+COUNTBLANK(J115)+COUNTBLANK(P115)=0,"Complete","Missing "&amp;(COUNTBLANK(B115:E115)+COUNTBLANK(H115)+COUNTBLANK(J115)+COUNTBLANK(P115))&amp;" required"))</f>
        <v/>
      </c>
      <c r="T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>
        <f>IF(A116="","",IF(COUNTBLANK(B116:E116)+COUNTBLANK(H116)+COUNTBLANK(J116)+COUNTBLANK(P116)=0,"Complete","Missing "&amp;(COUNTBLANK(B116:E116)+COUNTBLANK(H116)+COUNTBLANK(J116)+COUNTBLANK(P116))&amp;" required"))</f>
        <v/>
      </c>
      <c r="T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>
        <f>IF(A117="","",IF(COUNTBLANK(B117:E117)+COUNTBLANK(H117)+COUNTBLANK(J117)+COUNTBLANK(P117)=0,"Complete","Missing "&amp;(COUNTBLANK(B117:E117)+COUNTBLANK(H117)+COUNTBLANK(J117)+COUNTBLANK(P117))&amp;" required"))</f>
        <v/>
      </c>
      <c r="T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>
        <f>IF(A118="","",IF(COUNTBLANK(B118:E118)+COUNTBLANK(H118)+COUNTBLANK(J118)+COUNTBLANK(P118)=0,"Complete","Missing "&amp;(COUNTBLANK(B118:E118)+COUNTBLANK(H118)+COUNTBLANK(J118)+COUNTBLANK(P118))&amp;" required"))</f>
        <v/>
      </c>
      <c r="T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>
        <f>IF(A119="","",IF(COUNTBLANK(B119:E119)+COUNTBLANK(H119)+COUNTBLANK(J119)+COUNTBLANK(P119)=0,"Complete","Missing "&amp;(COUNTBLANK(B119:E119)+COUNTBLANK(H119)+COUNTBLANK(J119)+COUNTBLANK(P119))&amp;" required"))</f>
        <v/>
      </c>
      <c r="T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>
        <f>IF(A120="","",IF(COUNTBLANK(B120:E120)+COUNTBLANK(H120)+COUNTBLANK(J120)+COUNTBLANK(P120)=0,"Complete","Missing "&amp;(COUNTBLANK(B120:E120)+COUNTBLANK(H120)+COUNTBLANK(J120)+COUNTBLANK(P120))&amp;" required"))</f>
        <v/>
      </c>
      <c r="T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>
        <f>IF(A121="","",IF(COUNTBLANK(B121:E121)+COUNTBLANK(H121)+COUNTBLANK(J121)+COUNTBLANK(P121)=0,"Complete","Missing "&amp;(COUNTBLANK(B121:E121)+COUNTBLANK(H121)+COUNTBLANK(J121)+COUNTBLANK(P121))&amp;" required"))</f>
        <v/>
      </c>
      <c r="T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>
        <f>IF(A122="","",IF(COUNTBLANK(B122:E122)+COUNTBLANK(H122)+COUNTBLANK(J122)+COUNTBLANK(P122)=0,"Complete","Missing "&amp;(COUNTBLANK(B122:E122)+COUNTBLANK(H122)+COUNTBLANK(J122)+COUNTBLANK(P122))&amp;" required"))</f>
        <v/>
      </c>
      <c r="T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>
        <f>IF(A123="","",IF(COUNTBLANK(B123:E123)+COUNTBLANK(H123)+COUNTBLANK(J123)+COUNTBLANK(P123)=0,"Complete","Missing "&amp;(COUNTBLANK(B123:E123)+COUNTBLANK(H123)+COUNTBLANK(J123)+COUNTBLANK(P123))&amp;" required"))</f>
        <v/>
      </c>
      <c r="T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>
        <f>IF(A124="","",IF(COUNTBLANK(B124:E124)+COUNTBLANK(H124)+COUNTBLANK(J124)+COUNTBLANK(P124)=0,"Complete","Missing "&amp;(COUNTBLANK(B124:E124)+COUNTBLANK(H124)+COUNTBLANK(J124)+COUNTBLANK(P124))&amp;" required"))</f>
        <v/>
      </c>
      <c r="T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>
        <f>IF(A125="","",IF(COUNTBLANK(B125:E125)+COUNTBLANK(H125)+COUNTBLANK(J125)+COUNTBLANK(P125)=0,"Complete","Missing "&amp;(COUNTBLANK(B125:E125)+COUNTBLANK(H125)+COUNTBLANK(J125)+COUNTBLANK(P125))&amp;" required"))</f>
        <v/>
      </c>
      <c r="T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>
        <f>IF(A126="","",IF(COUNTBLANK(B126:E126)+COUNTBLANK(H126)+COUNTBLANK(J126)+COUNTBLANK(P126)=0,"Complete","Missing "&amp;(COUNTBLANK(B126:E126)+COUNTBLANK(H126)+COUNTBLANK(J126)+COUNTBLANK(P126))&amp;" required"))</f>
        <v/>
      </c>
      <c r="T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>
        <f>IF(A127="","",IF(COUNTBLANK(B127:E127)+COUNTBLANK(H127)+COUNTBLANK(J127)+COUNTBLANK(P127)=0,"Complete","Missing "&amp;(COUNTBLANK(B127:E127)+COUNTBLANK(H127)+COUNTBLANK(J127)+COUNTBLANK(P127))&amp;" required"))</f>
        <v/>
      </c>
      <c r="T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>
        <f>IF(A128="","",IF(COUNTBLANK(B128:E128)+COUNTBLANK(H128)+COUNTBLANK(J128)+COUNTBLANK(P128)=0,"Complete","Missing "&amp;(COUNTBLANK(B128:E128)+COUNTBLANK(H128)+COUNTBLANK(J128)+COUNTBLANK(P128))&amp;" required"))</f>
        <v/>
      </c>
      <c r="T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>
        <f>IF(A129="","",IF(COUNTBLANK(B129:E129)+COUNTBLANK(H129)+COUNTBLANK(J129)+COUNTBLANK(P129)=0,"Complete","Missing "&amp;(COUNTBLANK(B129:E129)+COUNTBLANK(H129)+COUNTBLANK(J129)+COUNTBLANK(P129))&amp;" required"))</f>
        <v/>
      </c>
      <c r="T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>
        <f>IF(A130="","",IF(COUNTBLANK(B130:E130)+COUNTBLANK(H130)+COUNTBLANK(J130)+COUNTBLANK(P130)=0,"Complete","Missing "&amp;(COUNTBLANK(B130:E130)+COUNTBLANK(H130)+COUNTBLANK(J130)+COUNTBLANK(P130))&amp;" required"))</f>
        <v/>
      </c>
      <c r="T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>
        <f>IF(A131="","",IF(COUNTBLANK(B131:E131)+COUNTBLANK(H131)+COUNTBLANK(J131)+COUNTBLANK(P131)=0,"Complete","Missing "&amp;(COUNTBLANK(B131:E131)+COUNTBLANK(H131)+COUNTBLANK(J131)+COUNTBLANK(P131))&amp;" required"))</f>
        <v/>
      </c>
      <c r="T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>
        <f>IF(A132="","",IF(COUNTBLANK(B132:E132)+COUNTBLANK(H132)+COUNTBLANK(J132)+COUNTBLANK(P132)=0,"Complete","Missing "&amp;(COUNTBLANK(B132:E132)+COUNTBLANK(H132)+COUNTBLANK(J132)+COUNTBLANK(P132))&amp;" required"))</f>
        <v/>
      </c>
      <c r="T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>
        <f>IF(A133="","",IF(COUNTBLANK(B133:E133)+COUNTBLANK(H133)+COUNTBLANK(J133)+COUNTBLANK(P133)=0,"Complete","Missing "&amp;(COUNTBLANK(B133:E133)+COUNTBLANK(H133)+COUNTBLANK(J133)+COUNTBLANK(P133))&amp;" required"))</f>
        <v/>
      </c>
      <c r="T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>
        <f>IF(A134="","",IF(COUNTBLANK(B134:E134)+COUNTBLANK(H134)+COUNTBLANK(J134)+COUNTBLANK(P134)=0,"Complete","Missing "&amp;(COUNTBLANK(B134:E134)+COUNTBLANK(H134)+COUNTBLANK(J134)+COUNTBLANK(P134))&amp;" required"))</f>
        <v/>
      </c>
      <c r="T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>
        <f>IF(A135="","",IF(COUNTBLANK(B135:E135)+COUNTBLANK(H135)+COUNTBLANK(J135)+COUNTBLANK(P135)=0,"Complete","Missing "&amp;(COUNTBLANK(B135:E135)+COUNTBLANK(H135)+COUNTBLANK(J135)+COUNTBLANK(P135))&amp;" required"))</f>
        <v/>
      </c>
      <c r="T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>
        <f>IF(A136="","",IF(COUNTBLANK(B136:E136)+COUNTBLANK(H136)+COUNTBLANK(J136)+COUNTBLANK(P136)=0,"Complete","Missing "&amp;(COUNTBLANK(B136:E136)+COUNTBLANK(H136)+COUNTBLANK(J136)+COUNTBLANK(P136))&amp;" required"))</f>
        <v/>
      </c>
      <c r="T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>
        <f>IF(A137="","",IF(COUNTBLANK(B137:E137)+COUNTBLANK(H137)+COUNTBLANK(J137)+COUNTBLANK(P137)=0,"Complete","Missing "&amp;(COUNTBLANK(B137:E137)+COUNTBLANK(H137)+COUNTBLANK(J137)+COUNTBLANK(P137))&amp;" required"))</f>
        <v/>
      </c>
      <c r="T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>
        <f>IF(A138="","",IF(COUNTBLANK(B138:E138)+COUNTBLANK(H138)+COUNTBLANK(J138)+COUNTBLANK(P138)=0,"Complete","Missing "&amp;(COUNTBLANK(B138:E138)+COUNTBLANK(H138)+COUNTBLANK(J138)+COUNTBLANK(P138))&amp;" required"))</f>
        <v/>
      </c>
      <c r="T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>
        <f>IF(A139="","",IF(COUNTBLANK(B139:E139)+COUNTBLANK(H139)+COUNTBLANK(J139)+COUNTBLANK(P139)=0,"Complete","Missing "&amp;(COUNTBLANK(B139:E139)+COUNTBLANK(H139)+COUNTBLANK(J139)+COUNTBLANK(P139))&amp;" required"))</f>
        <v/>
      </c>
      <c r="T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>
        <f>IF(A140="","",IF(COUNTBLANK(B140:E140)+COUNTBLANK(H140)+COUNTBLANK(J140)+COUNTBLANK(P140)=0,"Complete","Missing "&amp;(COUNTBLANK(B140:E140)+COUNTBLANK(H140)+COUNTBLANK(J140)+COUNTBLANK(P140))&amp;" required"))</f>
        <v/>
      </c>
      <c r="T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>
        <f>IF(A141="","",IF(COUNTBLANK(B141:E141)+COUNTBLANK(H141)+COUNTBLANK(J141)+COUNTBLANK(P141)=0,"Complete","Missing "&amp;(COUNTBLANK(B141:E141)+COUNTBLANK(H141)+COUNTBLANK(J141)+COUNTBLANK(P141))&amp;" required"))</f>
        <v/>
      </c>
      <c r="T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>
        <f>IF(A142="","",IF(COUNTBLANK(B142:E142)+COUNTBLANK(H142)+COUNTBLANK(J142)+COUNTBLANK(P142)=0,"Complete","Missing "&amp;(COUNTBLANK(B142:E142)+COUNTBLANK(H142)+COUNTBLANK(J142)+COUNTBLANK(P142))&amp;" required"))</f>
        <v/>
      </c>
      <c r="T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>
        <f>IF(A143="","",IF(COUNTBLANK(B143:E143)+COUNTBLANK(H143)+COUNTBLANK(J143)+COUNTBLANK(P143)=0,"Complete","Missing "&amp;(COUNTBLANK(B143:E143)+COUNTBLANK(H143)+COUNTBLANK(J143)+COUNTBLANK(P143))&amp;" required"))</f>
        <v/>
      </c>
      <c r="T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>
        <f>IF(A144="","",IF(COUNTBLANK(B144:E144)+COUNTBLANK(H144)+COUNTBLANK(J144)+COUNTBLANK(P144)=0,"Complete","Missing "&amp;(COUNTBLANK(B144:E144)+COUNTBLANK(H144)+COUNTBLANK(J144)+COUNTBLANK(P144))&amp;" required"))</f>
        <v/>
      </c>
      <c r="T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>
        <f>IF(A145="","",IF(COUNTBLANK(B145:E145)+COUNTBLANK(H145)+COUNTBLANK(J145)+COUNTBLANK(P145)=0,"Complete","Missing "&amp;(COUNTBLANK(B145:E145)+COUNTBLANK(H145)+COUNTBLANK(J145)+COUNTBLANK(P145))&amp;" required"))</f>
        <v/>
      </c>
      <c r="T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>
        <f>IF(A146="","",IF(COUNTBLANK(B146:E146)+COUNTBLANK(H146)+COUNTBLANK(J146)+COUNTBLANK(P146)=0,"Complete","Missing "&amp;(COUNTBLANK(B146:E146)+COUNTBLANK(H146)+COUNTBLANK(J146)+COUNTBLANK(P146))&amp;" required"))</f>
        <v/>
      </c>
      <c r="T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>
        <f>IF(A147="","",IF(COUNTBLANK(B147:E147)+COUNTBLANK(H147)+COUNTBLANK(J147)+COUNTBLANK(P147)=0,"Complete","Missing "&amp;(COUNTBLANK(B147:E147)+COUNTBLANK(H147)+COUNTBLANK(J147)+COUNTBLANK(P147))&amp;" required"))</f>
        <v/>
      </c>
      <c r="T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>
        <f>IF(A148="","",IF(COUNTBLANK(B148:E148)+COUNTBLANK(H148)+COUNTBLANK(J148)+COUNTBLANK(P148)=0,"Complete","Missing "&amp;(COUNTBLANK(B148:E148)+COUNTBLANK(H148)+COUNTBLANK(J148)+COUNTBLANK(P148))&amp;" required"))</f>
        <v/>
      </c>
      <c r="T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>
        <f>IF(A149="","",IF(COUNTBLANK(B149:E149)+COUNTBLANK(H149)+COUNTBLANK(J149)+COUNTBLANK(P149)=0,"Complete","Missing "&amp;(COUNTBLANK(B149:E149)+COUNTBLANK(H149)+COUNTBLANK(J149)+COUNTBLANK(P149))&amp;" required"))</f>
        <v/>
      </c>
      <c r="T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>
        <f>IF(A150="","",IF(COUNTBLANK(B150:E150)+COUNTBLANK(H150)+COUNTBLANK(J150)+COUNTBLANK(P150)=0,"Complete","Missing "&amp;(COUNTBLANK(B150:E150)+COUNTBLANK(H150)+COUNTBLANK(J150)+COUNTBLANK(P150))&amp;" required"))</f>
        <v/>
      </c>
      <c r="T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>
        <f>IF(A151="","",IF(COUNTBLANK(B151:E151)+COUNTBLANK(H151)+COUNTBLANK(J151)+COUNTBLANK(P151)=0,"Complete","Missing "&amp;(COUNTBLANK(B151:E151)+COUNTBLANK(H151)+COUNTBLANK(J151)+COUNTBLANK(P151))&amp;" required"))</f>
        <v/>
      </c>
      <c r="T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>
        <f>IF(A152="","",IF(COUNTBLANK(B152:E152)+COUNTBLANK(H152)+COUNTBLANK(J152)+COUNTBLANK(P152)=0,"Complete","Missing "&amp;(COUNTBLANK(B152:E152)+COUNTBLANK(H152)+COUNTBLANK(J152)+COUNTBLANK(P152))&amp;" required"))</f>
        <v/>
      </c>
      <c r="T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>
        <f>IF(A153="","",IF(COUNTBLANK(B153:E153)+COUNTBLANK(H153)+COUNTBLANK(J153)+COUNTBLANK(P153)=0,"Complete","Missing "&amp;(COUNTBLANK(B153:E153)+COUNTBLANK(H153)+COUNTBLANK(J153)+COUNTBLANK(P153))&amp;" required"))</f>
        <v/>
      </c>
      <c r="T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>
        <f>IF(A154="","",IF(COUNTBLANK(B154:E154)+COUNTBLANK(H154)+COUNTBLANK(J154)+COUNTBLANK(P154)=0,"Complete","Missing "&amp;(COUNTBLANK(B154:E154)+COUNTBLANK(H154)+COUNTBLANK(J154)+COUNTBLANK(P154))&amp;" required"))</f>
        <v/>
      </c>
      <c r="T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>
        <f>IF(A155="","",IF(COUNTBLANK(B155:E155)+COUNTBLANK(H155)+COUNTBLANK(J155)+COUNTBLANK(P155)=0,"Complete","Missing "&amp;(COUNTBLANK(B155:E155)+COUNTBLANK(H155)+COUNTBLANK(J155)+COUNTBLANK(P155))&amp;" required"))</f>
        <v/>
      </c>
      <c r="T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>
        <f>IF(A156="","",IF(COUNTBLANK(B156:E156)+COUNTBLANK(H156)+COUNTBLANK(J156)+COUNTBLANK(P156)=0,"Complete","Missing "&amp;(COUNTBLANK(B156:E156)+COUNTBLANK(H156)+COUNTBLANK(J156)+COUNTBLANK(P156))&amp;" required"))</f>
        <v/>
      </c>
      <c r="T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>
        <f>IF(A157="","",IF(COUNTBLANK(B157:E157)+COUNTBLANK(H157)+COUNTBLANK(J157)+COUNTBLANK(P157)=0,"Complete","Missing "&amp;(COUNTBLANK(B157:E157)+COUNTBLANK(H157)+COUNTBLANK(J157)+COUNTBLANK(P157))&amp;" required"))</f>
        <v/>
      </c>
      <c r="T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>
        <f>IF(A158="","",IF(COUNTBLANK(B158:E158)+COUNTBLANK(H158)+COUNTBLANK(J158)+COUNTBLANK(P158)=0,"Complete","Missing "&amp;(COUNTBLANK(B158:E158)+COUNTBLANK(H158)+COUNTBLANK(J158)+COUNTBLANK(P158))&amp;" required"))</f>
        <v/>
      </c>
      <c r="T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>
        <f>IF(A159="","",IF(COUNTBLANK(B159:E159)+COUNTBLANK(H159)+COUNTBLANK(J159)+COUNTBLANK(P159)=0,"Complete","Missing "&amp;(COUNTBLANK(B159:E159)+COUNTBLANK(H159)+COUNTBLANK(J159)+COUNTBLANK(P159))&amp;" required"))</f>
        <v/>
      </c>
      <c r="T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>
        <f>IF(A160="","",IF(COUNTBLANK(B160:E160)+COUNTBLANK(H160)+COUNTBLANK(J160)+COUNTBLANK(P160)=0,"Complete","Missing "&amp;(COUNTBLANK(B160:E160)+COUNTBLANK(H160)+COUNTBLANK(J160)+COUNTBLANK(P160))&amp;" required"))</f>
        <v/>
      </c>
      <c r="T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>
        <f>IF(A161="","",IF(COUNTBLANK(B161:E161)+COUNTBLANK(H161)+COUNTBLANK(J161)+COUNTBLANK(P161)=0,"Complete","Missing "&amp;(COUNTBLANK(B161:E161)+COUNTBLANK(H161)+COUNTBLANK(J161)+COUNTBLANK(P161))&amp;" required"))</f>
        <v/>
      </c>
      <c r="T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>
        <f>IF(A162="","",IF(COUNTBLANK(B162:E162)+COUNTBLANK(H162)+COUNTBLANK(J162)+COUNTBLANK(P162)=0,"Complete","Missing "&amp;(COUNTBLANK(B162:E162)+COUNTBLANK(H162)+COUNTBLANK(J162)+COUNTBLANK(P162))&amp;" required"))</f>
        <v/>
      </c>
      <c r="T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>
        <f>IF(A163="","",IF(COUNTBLANK(B163:E163)+COUNTBLANK(H163)+COUNTBLANK(J163)+COUNTBLANK(P163)=0,"Complete","Missing "&amp;(COUNTBLANK(B163:E163)+COUNTBLANK(H163)+COUNTBLANK(J163)+COUNTBLANK(P163))&amp;" required"))</f>
        <v/>
      </c>
      <c r="T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>
        <f>IF(A164="","",IF(COUNTBLANK(B164:E164)+COUNTBLANK(H164)+COUNTBLANK(J164)+COUNTBLANK(P164)=0,"Complete","Missing "&amp;(COUNTBLANK(B164:E164)+COUNTBLANK(H164)+COUNTBLANK(J164)+COUNTBLANK(P164))&amp;" required"))</f>
        <v/>
      </c>
      <c r="T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>
        <f>IF(A165="","",IF(COUNTBLANK(B165:E165)+COUNTBLANK(H165)+COUNTBLANK(J165)+COUNTBLANK(P165)=0,"Complete","Missing "&amp;(COUNTBLANK(B165:E165)+COUNTBLANK(H165)+COUNTBLANK(J165)+COUNTBLANK(P165))&amp;" required"))</f>
        <v/>
      </c>
      <c r="T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>
        <f>IF(A166="","",IF(COUNTBLANK(B166:E166)+COUNTBLANK(H166)+COUNTBLANK(J166)+COUNTBLANK(P166)=0,"Complete","Missing "&amp;(COUNTBLANK(B166:E166)+COUNTBLANK(H166)+COUNTBLANK(J166)+COUNTBLANK(P166))&amp;" required"))</f>
        <v/>
      </c>
      <c r="T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>
        <f>IF(A167="","",IF(COUNTBLANK(B167:E167)+COUNTBLANK(H167)+COUNTBLANK(J167)+COUNTBLANK(P167)=0,"Complete","Missing "&amp;(COUNTBLANK(B167:E167)+COUNTBLANK(H167)+COUNTBLANK(J167)+COUNTBLANK(P167))&amp;" required"))</f>
        <v/>
      </c>
      <c r="T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>
        <f>IF(A168="","",IF(COUNTBLANK(B168:E168)+COUNTBLANK(H168)+COUNTBLANK(J168)+COUNTBLANK(P168)=0,"Complete","Missing "&amp;(COUNTBLANK(B168:E168)+COUNTBLANK(H168)+COUNTBLANK(J168)+COUNTBLANK(P168))&amp;" required"))</f>
        <v/>
      </c>
      <c r="T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>
        <f>IF(A169="","",IF(COUNTBLANK(B169:E169)+COUNTBLANK(H169)+COUNTBLANK(J169)+COUNTBLANK(P169)=0,"Complete","Missing "&amp;(COUNTBLANK(B169:E169)+COUNTBLANK(H169)+COUNTBLANK(J169)+COUNTBLANK(P169))&amp;" required"))</f>
        <v/>
      </c>
      <c r="T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>
        <f>IF(A170="","",IF(COUNTBLANK(B170:E170)+COUNTBLANK(H170)+COUNTBLANK(J170)+COUNTBLANK(P170)=0,"Complete","Missing "&amp;(COUNTBLANK(B170:E170)+COUNTBLANK(H170)+COUNTBLANK(J170)+COUNTBLANK(P170))&amp;" required"))</f>
        <v/>
      </c>
      <c r="T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>
        <f>IF(A171="","",IF(COUNTBLANK(B171:E171)+COUNTBLANK(H171)+COUNTBLANK(J171)+COUNTBLANK(P171)=0,"Complete","Missing "&amp;(COUNTBLANK(B171:E171)+COUNTBLANK(H171)+COUNTBLANK(J171)+COUNTBLANK(P171))&amp;" required"))</f>
        <v/>
      </c>
      <c r="T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>
        <f>IF(A172="","",IF(COUNTBLANK(B172:E172)+COUNTBLANK(H172)+COUNTBLANK(J172)+COUNTBLANK(P172)=0,"Complete","Missing "&amp;(COUNTBLANK(B172:E172)+COUNTBLANK(H172)+COUNTBLANK(J172)+COUNTBLANK(P172))&amp;" required"))</f>
        <v/>
      </c>
      <c r="T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>
        <f>IF(A173="","",IF(COUNTBLANK(B173:E173)+COUNTBLANK(H173)+COUNTBLANK(J173)+COUNTBLANK(P173)=0,"Complete","Missing "&amp;(COUNTBLANK(B173:E173)+COUNTBLANK(H173)+COUNTBLANK(J173)+COUNTBLANK(P173))&amp;" required"))</f>
        <v/>
      </c>
      <c r="T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>
        <f>IF(A174="","",IF(COUNTBLANK(B174:E174)+COUNTBLANK(H174)+COUNTBLANK(J174)+COUNTBLANK(P174)=0,"Complete","Missing "&amp;(COUNTBLANK(B174:E174)+COUNTBLANK(H174)+COUNTBLANK(J174)+COUNTBLANK(P174))&amp;" required"))</f>
        <v/>
      </c>
      <c r="T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>
        <f>IF(A175="","",IF(COUNTBLANK(B175:E175)+COUNTBLANK(H175)+COUNTBLANK(J175)+COUNTBLANK(P175)=0,"Complete","Missing "&amp;(COUNTBLANK(B175:E175)+COUNTBLANK(H175)+COUNTBLANK(J175)+COUNTBLANK(P175))&amp;" required"))</f>
        <v/>
      </c>
      <c r="T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>
        <f>IF(A176="","",IF(COUNTBLANK(B176:E176)+COUNTBLANK(H176)+COUNTBLANK(J176)+COUNTBLANK(P176)=0,"Complete","Missing "&amp;(COUNTBLANK(B176:E176)+COUNTBLANK(H176)+COUNTBLANK(J176)+COUNTBLANK(P176))&amp;" required"))</f>
        <v/>
      </c>
      <c r="T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>
        <f>IF(A177="","",IF(COUNTBLANK(B177:E177)+COUNTBLANK(H177)+COUNTBLANK(J177)+COUNTBLANK(P177)=0,"Complete","Missing "&amp;(COUNTBLANK(B177:E177)+COUNTBLANK(H177)+COUNTBLANK(J177)+COUNTBLANK(P177))&amp;" required"))</f>
        <v/>
      </c>
      <c r="T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>
        <f>IF(A178="","",IF(COUNTBLANK(B178:E178)+COUNTBLANK(H178)+COUNTBLANK(J178)+COUNTBLANK(P178)=0,"Complete","Missing "&amp;(COUNTBLANK(B178:E178)+COUNTBLANK(H178)+COUNTBLANK(J178)+COUNTBLANK(P178))&amp;" required"))</f>
        <v/>
      </c>
      <c r="T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>
        <f>IF(A179="","",IF(COUNTBLANK(B179:E179)+COUNTBLANK(H179)+COUNTBLANK(J179)+COUNTBLANK(P179)=0,"Complete","Missing "&amp;(COUNTBLANK(B179:E179)+COUNTBLANK(H179)+COUNTBLANK(J179)+COUNTBLANK(P179))&amp;" required"))</f>
        <v/>
      </c>
      <c r="T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>
        <f>IF(A180="","",IF(COUNTBLANK(B180:E180)+COUNTBLANK(H180)+COUNTBLANK(J180)+COUNTBLANK(P180)=0,"Complete","Missing "&amp;(COUNTBLANK(B180:E180)+COUNTBLANK(H180)+COUNTBLANK(J180)+COUNTBLANK(P180))&amp;" required"))</f>
        <v/>
      </c>
      <c r="T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>
        <f>IF(A181="","",IF(COUNTBLANK(B181:E181)+COUNTBLANK(H181)+COUNTBLANK(J181)+COUNTBLANK(P181)=0,"Complete","Missing "&amp;(COUNTBLANK(B181:E181)+COUNTBLANK(H181)+COUNTBLANK(J181)+COUNTBLANK(P181))&amp;" required"))</f>
        <v/>
      </c>
      <c r="T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>
        <f>IF(A182="","",IF(COUNTBLANK(B182:E182)+COUNTBLANK(H182)+COUNTBLANK(J182)+COUNTBLANK(P182)=0,"Complete","Missing "&amp;(COUNTBLANK(B182:E182)+COUNTBLANK(H182)+COUNTBLANK(J182)+COUNTBLANK(P182))&amp;" required"))</f>
        <v/>
      </c>
      <c r="T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>
        <f>IF(A183="","",IF(COUNTBLANK(B183:E183)+COUNTBLANK(H183)+COUNTBLANK(J183)+COUNTBLANK(P183)=0,"Complete","Missing "&amp;(COUNTBLANK(B183:E183)+COUNTBLANK(H183)+COUNTBLANK(J183)+COUNTBLANK(P183))&amp;" required"))</f>
        <v/>
      </c>
      <c r="T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>
        <f>IF(A184="","",IF(COUNTBLANK(B184:E184)+COUNTBLANK(H184)+COUNTBLANK(J184)+COUNTBLANK(P184)=0,"Complete","Missing "&amp;(COUNTBLANK(B184:E184)+COUNTBLANK(H184)+COUNTBLANK(J184)+COUNTBLANK(P184))&amp;" required"))</f>
        <v/>
      </c>
      <c r="T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>
        <f>IF(A185="","",IF(COUNTBLANK(B185:E185)+COUNTBLANK(H185)+COUNTBLANK(J185)+COUNTBLANK(P185)=0,"Complete","Missing "&amp;(COUNTBLANK(B185:E185)+COUNTBLANK(H185)+COUNTBLANK(J185)+COUNTBLANK(P185))&amp;" required"))</f>
        <v/>
      </c>
      <c r="T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>
        <f>IF(A186="","",IF(COUNTBLANK(B186:E186)+COUNTBLANK(H186)+COUNTBLANK(J186)+COUNTBLANK(P186)=0,"Complete","Missing "&amp;(COUNTBLANK(B186:E186)+COUNTBLANK(H186)+COUNTBLANK(J186)+COUNTBLANK(P186))&amp;" required"))</f>
        <v/>
      </c>
      <c r="T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>
        <f>IF(A187="","",IF(COUNTBLANK(B187:E187)+COUNTBLANK(H187)+COUNTBLANK(J187)+COUNTBLANK(P187)=0,"Complete","Missing "&amp;(COUNTBLANK(B187:E187)+COUNTBLANK(H187)+COUNTBLANK(J187)+COUNTBLANK(P187))&amp;" required"))</f>
        <v/>
      </c>
      <c r="T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>
        <f>IF(A188="","",IF(COUNTBLANK(B188:E188)+COUNTBLANK(H188)+COUNTBLANK(J188)+COUNTBLANK(P188)=0,"Complete","Missing "&amp;(COUNTBLANK(B188:E188)+COUNTBLANK(H188)+COUNTBLANK(J188)+COUNTBLANK(P188))&amp;" required"))</f>
        <v/>
      </c>
      <c r="T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>
        <f>IF(A189="","",IF(COUNTBLANK(B189:E189)+COUNTBLANK(H189)+COUNTBLANK(J189)+COUNTBLANK(P189)=0,"Complete","Missing "&amp;(COUNTBLANK(B189:E189)+COUNTBLANK(H189)+COUNTBLANK(J189)+COUNTBLANK(P189))&amp;" required"))</f>
        <v/>
      </c>
      <c r="T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>
        <f>IF(A190="","",IF(COUNTBLANK(B190:E190)+COUNTBLANK(H190)+COUNTBLANK(J190)+COUNTBLANK(P190)=0,"Complete","Missing "&amp;(COUNTBLANK(B190:E190)+COUNTBLANK(H190)+COUNTBLANK(J190)+COUNTBLANK(P190))&amp;" required"))</f>
        <v/>
      </c>
      <c r="T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>
        <f>IF(A191="","",IF(COUNTBLANK(B191:E191)+COUNTBLANK(H191)+COUNTBLANK(J191)+COUNTBLANK(P191)=0,"Complete","Missing "&amp;(COUNTBLANK(B191:E191)+COUNTBLANK(H191)+COUNTBLANK(J191)+COUNTBLANK(P191))&amp;" required"))</f>
        <v/>
      </c>
      <c r="T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>
        <f>IF(A192="","",IF(COUNTBLANK(B192:E192)+COUNTBLANK(H192)+COUNTBLANK(J192)+COUNTBLANK(P192)=0,"Complete","Missing "&amp;(COUNTBLANK(B192:E192)+COUNTBLANK(H192)+COUNTBLANK(J192)+COUNTBLANK(P192))&amp;" required"))</f>
        <v/>
      </c>
      <c r="T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>
        <f>IF(A193="","",IF(COUNTBLANK(B193:E193)+COUNTBLANK(H193)+COUNTBLANK(J193)+COUNTBLANK(P193)=0,"Complete","Missing "&amp;(COUNTBLANK(B193:E193)+COUNTBLANK(H193)+COUNTBLANK(J193)+COUNTBLANK(P193))&amp;" required"))</f>
        <v/>
      </c>
      <c r="T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>
        <f>IF(A194="","",IF(COUNTBLANK(B194:E194)+COUNTBLANK(H194)+COUNTBLANK(J194)+COUNTBLANK(P194)=0,"Complete","Missing "&amp;(COUNTBLANK(B194:E194)+COUNTBLANK(H194)+COUNTBLANK(J194)+COUNTBLANK(P194))&amp;" required"))</f>
        <v/>
      </c>
      <c r="T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>
        <f>IF(A195="","",IF(COUNTBLANK(B195:E195)+COUNTBLANK(H195)+COUNTBLANK(J195)+COUNTBLANK(P195)=0,"Complete","Missing "&amp;(COUNTBLANK(B195:E195)+COUNTBLANK(H195)+COUNTBLANK(J195)+COUNTBLANK(P195))&amp;" required"))</f>
        <v/>
      </c>
      <c r="T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>
        <f>IF(A196="","",IF(COUNTBLANK(B196:E196)+COUNTBLANK(H196)+COUNTBLANK(J196)+COUNTBLANK(P196)=0,"Complete","Missing "&amp;(COUNTBLANK(B196:E196)+COUNTBLANK(H196)+COUNTBLANK(J196)+COUNTBLANK(P196))&amp;" required"))</f>
        <v/>
      </c>
      <c r="T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>
        <f>IF(A197="","",IF(COUNTBLANK(B197:E197)+COUNTBLANK(H197)+COUNTBLANK(J197)+COUNTBLANK(P197)=0,"Complete","Missing "&amp;(COUNTBLANK(B197:E197)+COUNTBLANK(H197)+COUNTBLANK(J197)+COUNTBLANK(P197))&amp;" required"))</f>
        <v/>
      </c>
      <c r="T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>
        <f>IF(A198="","",IF(COUNTBLANK(B198:E198)+COUNTBLANK(H198)+COUNTBLANK(J198)+COUNTBLANK(P198)=0,"Complete","Missing "&amp;(COUNTBLANK(B198:E198)+COUNTBLANK(H198)+COUNTBLANK(J198)+COUNTBLANK(P198))&amp;" required"))</f>
        <v/>
      </c>
      <c r="T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>
        <f>IF(A199="","",IF(COUNTBLANK(B199:E199)+COUNTBLANK(H199)+COUNTBLANK(J199)+COUNTBLANK(P199)=0,"Complete","Missing "&amp;(COUNTBLANK(B199:E199)+COUNTBLANK(H199)+COUNTBLANK(J199)+COUNTBLANK(P199))&amp;" required"))</f>
        <v/>
      </c>
      <c r="T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>
        <f>IF(A200="","",IF(COUNTBLANK(B200:E200)+COUNTBLANK(H200)+COUNTBLANK(J200)+COUNTBLANK(P200)=0,"Complete","Missing "&amp;(COUNTBLANK(B200:E200)+COUNTBLANK(H200)+COUNTBLANK(J200)+COUNTBLANK(P200))&amp;" required"))</f>
        <v/>
      </c>
      <c r="T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>
        <f>IF(A201="","",IF(COUNTBLANK(B201:E201)+COUNTBLANK(H201)+COUNTBLANK(J201)+COUNTBLANK(P201)=0,"Complete","Missing "&amp;(COUNTBLANK(B201:E201)+COUNTBLANK(H201)+COUNTBLANK(J201)+COUNTBLANK(P201))&amp;" required"))</f>
        <v/>
      </c>
      <c r="T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>
        <f>IF(A202="","",IF(COUNTBLANK(B202:E202)+COUNTBLANK(H202)+COUNTBLANK(J202)+COUNTBLANK(P202)=0,"Complete","Missing "&amp;(COUNTBLANK(B202:E202)+COUNTBLANK(H202)+COUNTBLANK(J202)+COUNTBLANK(P202))&amp;" required"))</f>
        <v/>
      </c>
      <c r="T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>
        <f>IF(A203="","",IF(COUNTBLANK(B203:E203)+COUNTBLANK(H203)+COUNTBLANK(J203)+COUNTBLANK(P203)=0,"Complete","Missing "&amp;(COUNTBLANK(B203:E203)+COUNTBLANK(H203)+COUNTBLANK(J203)+COUNTBLANK(P203))&amp;" required"))</f>
        <v/>
      </c>
      <c r="T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>
        <f>IF(A204="","",IF(COUNTBLANK(B204:E204)+COUNTBLANK(H204)+COUNTBLANK(J204)+COUNTBLANK(P204)=0,"Complete","Missing "&amp;(COUNTBLANK(B204:E204)+COUNTBLANK(H204)+COUNTBLANK(J204)+COUNTBLANK(P204))&amp;" required"))</f>
        <v/>
      </c>
      <c r="T204" s="10" t="n"/>
    </row>
  </sheetData>
  <conditionalFormatting sqref="S5:S204">
    <cfRule type="expression" priority="1" dxfId="0">
      <formula>S5="Complete"</formula>
    </cfRule>
    <cfRule type="expression" priority="2" dxfId="1">
      <formula>LEFT(S5,7)="Missing"</formula>
    </cfRule>
  </conditionalFormatting>
  <dataValidations count="7">
    <dataValidation sqref="B5:B204" showDropDown="0" showInputMessage="0" showErrorMessage="0" allowBlank="1" errorTitle="Not in the list" error="That value is not in the list. Keep it only if you need it." type="list" errorStyle="warning">
      <formula1>='2 Tables'!$A$5:$A$204</formula1>
    </dataValidation>
    <dataValidation sqref="E5:E204" showDropDown="0" showInputMessage="0" showErrorMessage="0" allowBlank="1" errorTitle="Not in the list" error="That value is not in the list. Keep it only if you need it." type="list" errorStyle="warning">
      <formula1>=Lists!$J$2:$J$7</formula1>
    </dataValidation>
    <dataValidation sqref="H5:H204" showDropDown="0" showInputMessage="0" showErrorMessage="0" allowBlank="1" errorTitle="Not in the list" error="That value is not in the list. Keep it only if you need it." type="list" errorStyle="warning">
      <formula1>='5 KPIs'!$A$5:$A$204</formula1>
    </dataValidation>
    <dataValidation sqref="I5:I204" showDropDown="0" showInputMessage="0" showErrorMessage="0" allowBlank="1" errorTitle="Not in the list" error="That value is not in the list. Keep it only if you need it." type="list" errorStyle="warning">
      <formula1>=Lists!$K$2:$K$7</formula1>
    </dataValidation>
    <dataValidation sqref="J5:J204" showDropDown="0" showInputMessage="0" showErrorMessage="0" allowBlank="1" errorTitle="Not in the list" error="That value is not in the list. Keep it only if you need it." type="list" errorStyle="warning">
      <formula1>=Lists!$L$2:$L$5</formula1>
    </dataValidation>
    <dataValidation sqref="K5:K204" showDropDown="0" showInputMessage="0" showErrorMessage="0" allowBlank="1" errorTitle="Not in the list" error="That value is not in the list. Keep it only if you need it." type="list" errorStyle="warning">
      <formula1>=Lists!$M$2:$M$3</formula1>
    </dataValidation>
    <dataValidation sqref="P5:P204" showDropDown="0" showInputMessage="0" showErrorMessage="0" allowBlank="1" errorTitle="Not in the list" error="That value is not in the list. Keep it only if you need it." type="list" errorStyle="warning">
      <formula1>=Lists!$G$2:$G$4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4642A"/>
    <outlinePr summaryBelow="1" summaryRight="1"/>
    <pageSetUpPr/>
  </sheetPr>
  <dimension ref="A1:R2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32" customWidth="1" min="3" max="3"/>
    <col width="34" customWidth="1" min="4" max="4"/>
    <col width="12" customWidth="1" min="5" max="5"/>
    <col width="28" customWidth="1" min="6" max="6"/>
    <col width="28" customWidth="1" min="7" max="7"/>
    <col width="11" customWidth="1" min="8" max="8"/>
    <col width="24" customWidth="1" min="9" max="9"/>
    <col width="14" customWidth="1" min="10" max="10"/>
    <col width="14" customWidth="1" min="11" max="11"/>
    <col width="36" customWidth="1" min="12" max="12"/>
    <col width="34" customWidth="1" min="13" max="13"/>
    <col width="24" customWidth="1" min="14" max="14"/>
    <col width="16" customWidth="1" min="15" max="15"/>
    <col width="14" customWidth="1" min="16" max="16"/>
    <col width="18" customWidth="1" min="17" max="17"/>
    <col width="36" customWidth="1" min="18" max="18"/>
  </cols>
  <sheetData>
    <row r="1">
      <c r="A1" s="5" t="inlineStr">
        <is>
          <t>4 Extractions: what to take out of a document</t>
        </is>
      </c>
    </row>
    <row r="2">
      <c r="A2" s="6" t="inlineStr">
        <is>
          <t>For unstructured data, such as a contract or a notice: the key things to read out of each document type listed on tab 2. These are what the later check for gaps will look for.</t>
        </is>
      </c>
    </row>
    <row r="3" ht="36" customHeight="1">
      <c r="A3" s="7" t="inlineStr">
        <is>
          <t>X001, X002 ...</t>
        </is>
      </c>
      <c r="B3" s="7" t="inlineStr">
        <is>
          <t>From tab 2</t>
        </is>
      </c>
      <c r="C3" s="7" t="inlineStr">
        <is>
          <t>For example due date, amount, counterparty</t>
        </is>
      </c>
      <c r="D3" s="7" t="inlineStr">
        <is>
          <t>The decision it supports</t>
        </is>
      </c>
      <c r="E3" s="7" t="inlineStr">
        <is>
          <t>KPI ID from tab 5</t>
        </is>
      </c>
      <c r="F3" s="7" t="inlineStr">
        <is>
          <t>For example first page, table of terms</t>
        </is>
      </c>
      <c r="G3" s="7" t="inlineStr">
        <is>
          <t>For example a date, a number with currency</t>
        </is>
      </c>
      <c r="H3" s="7" t="inlineStr">
        <is>
          <t>Pick one</t>
        </is>
      </c>
      <c r="I3" s="7" t="inlineStr">
        <is>
          <t>Pick one</t>
        </is>
      </c>
      <c r="J3" s="7" t="inlineStr">
        <is>
          <t>Time bound: start date</t>
        </is>
      </c>
      <c r="K3" s="7" t="inlineStr">
        <is>
          <t>Time bound: end date</t>
        </is>
      </c>
      <c r="L3" s="7" t="inlineStr">
        <is>
          <t>When it is missing or unclear</t>
        </is>
      </c>
      <c r="M3" s="7" t="inlineStr">
        <is>
          <t>What people do about it</t>
        </is>
      </c>
      <c r="N3" s="7" t="inlineStr">
        <is>
          <t>Stated, guessed or unknown</t>
        </is>
      </c>
      <c r="O3" s="7" t="inlineStr">
        <is>
          <t>Name</t>
        </is>
      </c>
      <c r="P3" s="7" t="inlineStr">
        <is>
          <t>Date</t>
        </is>
      </c>
      <c r="Q3" s="7" t="inlineStr">
        <is>
          <t>Filled in for you</t>
        </is>
      </c>
      <c r="R3" s="7" t="inlineStr">
        <is>
          <t>Anything else</t>
        </is>
      </c>
    </row>
    <row r="4" ht="44" customHeight="1">
      <c r="A4" s="8" t="inlineStr">
        <is>
          <t>Extract ID</t>
        </is>
      </c>
      <c r="B4" s="8" t="inlineStr">
        <is>
          <t>Item ID (document type)</t>
        </is>
      </c>
      <c r="C4" s="8" t="inlineStr">
        <is>
          <t>What to extract</t>
        </is>
      </c>
      <c r="D4" s="8" t="inlineStr">
        <is>
          <t>Why it matters</t>
        </is>
      </c>
      <c r="E4" s="8" t="inlineStr">
        <is>
          <t>Feeds KPI</t>
        </is>
      </c>
      <c r="F4" s="8" t="inlineStr">
        <is>
          <t>Where in the document</t>
        </is>
      </c>
      <c r="G4" s="8" t="inlineStr">
        <is>
          <t>Expected format</t>
        </is>
      </c>
      <c r="H4" s="8" t="inlineStr">
        <is>
          <t>Required?</t>
        </is>
      </c>
      <c r="I4" s="8" t="inlineStr">
        <is>
          <t>Personal data class</t>
        </is>
      </c>
      <c r="J4" s="8" t="inlineStr">
        <is>
          <t>Valid from</t>
        </is>
      </c>
      <c r="K4" s="8" t="inlineStr">
        <is>
          <t>Valid to</t>
        </is>
      </c>
      <c r="L4" s="8" t="inlineStr">
        <is>
          <t>Exception or special case</t>
        </is>
      </c>
      <c r="M4" s="8" t="inlineStr">
        <is>
          <t>How the exception is handled</t>
        </is>
      </c>
      <c r="N4" s="8" t="inlineStr">
        <is>
          <t>How sure are we</t>
        </is>
      </c>
      <c r="O4" s="8" t="inlineStr">
        <is>
          <t>Confirmed by</t>
        </is>
      </c>
      <c r="P4" s="8" t="inlineStr">
        <is>
          <t>Date confirmed</t>
        </is>
      </c>
      <c r="Q4" s="8" t="inlineStr">
        <is>
          <t>Complete?</t>
        </is>
      </c>
      <c r="R4" s="8" t="inlineStr">
        <is>
          <t>Notes</t>
        </is>
      </c>
    </row>
    <row r="5">
      <c r="A5" s="9" t="inlineStr">
        <is>
          <t>X001</t>
        </is>
      </c>
      <c r="B5" s="9" t="inlineStr">
        <is>
          <t>T02</t>
        </is>
      </c>
      <c r="C5" s="9" t="inlineStr">
        <is>
          <t>Due date</t>
        </is>
      </c>
      <c r="D5" s="9" t="inlineStr">
        <is>
          <t>When the cash must be ready</t>
        </is>
      </c>
      <c r="E5" s="9" t="inlineStr">
        <is>
          <t>K01</t>
        </is>
      </c>
      <c r="F5" s="9" t="inlineStr">
        <is>
          <t>Header of the notice</t>
        </is>
      </c>
      <c r="G5" s="9" t="inlineStr">
        <is>
          <t>A date</t>
        </is>
      </c>
      <c r="H5" s="9" t="inlineStr">
        <is>
          <t>Yes</t>
        </is>
      </c>
      <c r="I5" s="9" t="inlineStr">
        <is>
          <t>Neither</t>
        </is>
      </c>
      <c r="J5" s="9" t="n"/>
      <c r="K5" s="9" t="n"/>
      <c r="L5" s="9" t="inlineStr">
        <is>
          <t>Notice gives a month, not a day</t>
        </is>
      </c>
      <c r="M5" s="9" t="inlineStr">
        <is>
          <t>Ask the manager</t>
        </is>
      </c>
      <c r="N5" s="9" t="inlineStr">
        <is>
          <t>Guessed</t>
        </is>
      </c>
      <c r="O5" s="9" t="n"/>
      <c r="P5" s="9" t="n"/>
      <c r="Q5" s="10">
        <f>IF(A5="","",IF(COUNTBLANK(B5:C5)+COUNTBLANK(E5)+COUNTBLANK(H5:I5)+COUNTBLANK(N5)=0,"Complete","Missing "&amp;(COUNTBLANK(B5:C5)+COUNTBLANK(E5)+COUNTBLANK(H5:I5)+COUNTBLANK(N5))&amp;" required"))</f>
        <v/>
      </c>
      <c r="R5" s="9" t="inlineStr">
        <is>
          <t>EXAMPLE ROW: delete before use</t>
        </is>
      </c>
    </row>
    <row r="6">
      <c r="A6" s="9" t="inlineStr">
        <is>
          <t>X002</t>
        </is>
      </c>
      <c r="B6" s="9" t="inlineStr">
        <is>
          <t>T02</t>
        </is>
      </c>
      <c r="C6" s="9" t="inlineStr">
        <is>
          <t>Amount called</t>
        </is>
      </c>
      <c r="D6" s="9" t="inlineStr">
        <is>
          <t>How much cash is needed</t>
        </is>
      </c>
      <c r="E6" s="9" t="inlineStr">
        <is>
          <t>K01</t>
        </is>
      </c>
      <c r="F6" s="9" t="inlineStr">
        <is>
          <t>Table of terms</t>
        </is>
      </c>
      <c r="G6" s="9" t="inlineStr">
        <is>
          <t>A number with currency</t>
        </is>
      </c>
      <c r="H6" s="9" t="inlineStr">
        <is>
          <t>Yes</t>
        </is>
      </c>
      <c r="I6" s="9" t="inlineStr">
        <is>
          <t>Neither</t>
        </is>
      </c>
      <c r="J6" s="9" t="n"/>
      <c r="K6" s="9" t="n"/>
      <c r="L6" s="9" t="n"/>
      <c r="M6" s="9" t="n"/>
      <c r="N6" s="9" t="inlineStr">
        <is>
          <t>Unknown</t>
        </is>
      </c>
      <c r="O6" s="9" t="n"/>
      <c r="P6" s="9" t="n"/>
      <c r="Q6" s="10">
        <f>IF(A6="","",IF(COUNTBLANK(B6:C6)+COUNTBLANK(E6)+COUNTBLANK(H6:I6)+COUNTBLANK(N6)=0,"Complete","Missing "&amp;(COUNTBLANK(B6:C6)+COUNTBLANK(E6)+COUNTBLANK(H6:I6)+COUNTBLANK(N6))&amp;" required"))</f>
        <v/>
      </c>
      <c r="R6" s="9" t="inlineStr">
        <is>
          <t>EXAMPLE ROW: delete before use</t>
        </is>
      </c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>
        <f>IF(A7="","",IF(COUNTBLANK(B7:C7)+COUNTBLANK(E7)+COUNTBLANK(H7:I7)+COUNTBLANK(N7)=0,"Complete","Missing "&amp;(COUNTBLANK(B7:C7)+COUNTBLANK(E7)+COUNTBLANK(H7:I7)+COUNTBLANK(N7))&amp;" required"))</f>
        <v/>
      </c>
      <c r="R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>
        <f>IF(A8="","",IF(COUNTBLANK(B8:C8)+COUNTBLANK(E8)+COUNTBLANK(H8:I8)+COUNTBLANK(N8)=0,"Complete","Missing "&amp;(COUNTBLANK(B8:C8)+COUNTBLANK(E8)+COUNTBLANK(H8:I8)+COUNTBLANK(N8))&amp;" required"))</f>
        <v/>
      </c>
      <c r="R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>
        <f>IF(A9="","",IF(COUNTBLANK(B9:C9)+COUNTBLANK(E9)+COUNTBLANK(H9:I9)+COUNTBLANK(N9)=0,"Complete","Missing "&amp;(COUNTBLANK(B9:C9)+COUNTBLANK(E9)+COUNTBLANK(H9:I9)+COUNTBLANK(N9))&amp;" required"))</f>
        <v/>
      </c>
      <c r="R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>
        <f>IF(A10="","",IF(COUNTBLANK(B10:C10)+COUNTBLANK(E10)+COUNTBLANK(H10:I10)+COUNTBLANK(N10)=0,"Complete","Missing "&amp;(COUNTBLANK(B10:C10)+COUNTBLANK(E10)+COUNTBLANK(H10:I10)+COUNTBLANK(N10))&amp;" required"))</f>
        <v/>
      </c>
      <c r="R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>
        <f>IF(A11="","",IF(COUNTBLANK(B11:C11)+COUNTBLANK(E11)+COUNTBLANK(H11:I11)+COUNTBLANK(N11)=0,"Complete","Missing "&amp;(COUNTBLANK(B11:C11)+COUNTBLANK(E11)+COUNTBLANK(H11:I11)+COUNTBLANK(N11))&amp;" required"))</f>
        <v/>
      </c>
      <c r="R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>
        <f>IF(A12="","",IF(COUNTBLANK(B12:C12)+COUNTBLANK(E12)+COUNTBLANK(H12:I12)+COUNTBLANK(N12)=0,"Complete","Missing "&amp;(COUNTBLANK(B12:C12)+COUNTBLANK(E12)+COUNTBLANK(H12:I12)+COUNTBLANK(N12))&amp;" required"))</f>
        <v/>
      </c>
      <c r="R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>
        <f>IF(A13="","",IF(COUNTBLANK(B13:C13)+COUNTBLANK(E13)+COUNTBLANK(H13:I13)+COUNTBLANK(N13)=0,"Complete","Missing "&amp;(COUNTBLANK(B13:C13)+COUNTBLANK(E13)+COUNTBLANK(H13:I13)+COUNTBLANK(N13))&amp;" required"))</f>
        <v/>
      </c>
      <c r="R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>
        <f>IF(A14="","",IF(COUNTBLANK(B14:C14)+COUNTBLANK(E14)+COUNTBLANK(H14:I14)+COUNTBLANK(N14)=0,"Complete","Missing "&amp;(COUNTBLANK(B14:C14)+COUNTBLANK(E14)+COUNTBLANK(H14:I14)+COUNTBLANK(N14))&amp;" required"))</f>
        <v/>
      </c>
      <c r="R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>
        <f>IF(A15="","",IF(COUNTBLANK(B15:C15)+COUNTBLANK(E15)+COUNTBLANK(H15:I15)+COUNTBLANK(N15)=0,"Complete","Missing "&amp;(COUNTBLANK(B15:C15)+COUNTBLANK(E15)+COUNTBLANK(H15:I15)+COUNTBLANK(N15))&amp;" required"))</f>
        <v/>
      </c>
      <c r="R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>
        <f>IF(A16="","",IF(COUNTBLANK(B16:C16)+COUNTBLANK(E16)+COUNTBLANK(H16:I16)+COUNTBLANK(N16)=0,"Complete","Missing "&amp;(COUNTBLANK(B16:C16)+COUNTBLANK(E16)+COUNTBLANK(H16:I16)+COUNTBLANK(N16))&amp;" required"))</f>
        <v/>
      </c>
      <c r="R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>
        <f>IF(A17="","",IF(COUNTBLANK(B17:C17)+COUNTBLANK(E17)+COUNTBLANK(H17:I17)+COUNTBLANK(N17)=0,"Complete","Missing "&amp;(COUNTBLANK(B17:C17)+COUNTBLANK(E17)+COUNTBLANK(H17:I17)+COUNTBLANK(N17))&amp;" required"))</f>
        <v/>
      </c>
      <c r="R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>
        <f>IF(A18="","",IF(COUNTBLANK(B18:C18)+COUNTBLANK(E18)+COUNTBLANK(H18:I18)+COUNTBLANK(N18)=0,"Complete","Missing "&amp;(COUNTBLANK(B18:C18)+COUNTBLANK(E18)+COUNTBLANK(H18:I18)+COUNTBLANK(N18))&amp;" required"))</f>
        <v/>
      </c>
      <c r="R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>
        <f>IF(A19="","",IF(COUNTBLANK(B19:C19)+COUNTBLANK(E19)+COUNTBLANK(H19:I19)+COUNTBLANK(N19)=0,"Complete","Missing "&amp;(COUNTBLANK(B19:C19)+COUNTBLANK(E19)+COUNTBLANK(H19:I19)+COUNTBLANK(N19))&amp;" required"))</f>
        <v/>
      </c>
      <c r="R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>
        <f>IF(A20="","",IF(COUNTBLANK(B20:C20)+COUNTBLANK(E20)+COUNTBLANK(H20:I20)+COUNTBLANK(N20)=0,"Complete","Missing "&amp;(COUNTBLANK(B20:C20)+COUNTBLANK(E20)+COUNTBLANK(H20:I20)+COUNTBLANK(N20))&amp;" required"))</f>
        <v/>
      </c>
      <c r="R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>
        <f>IF(A21="","",IF(COUNTBLANK(B21:C21)+COUNTBLANK(E21)+COUNTBLANK(H21:I21)+COUNTBLANK(N21)=0,"Complete","Missing "&amp;(COUNTBLANK(B21:C21)+COUNTBLANK(E21)+COUNTBLANK(H21:I21)+COUNTBLANK(N21))&amp;" required"))</f>
        <v/>
      </c>
      <c r="R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>
        <f>IF(A22="","",IF(COUNTBLANK(B22:C22)+COUNTBLANK(E22)+COUNTBLANK(H22:I22)+COUNTBLANK(N22)=0,"Complete","Missing "&amp;(COUNTBLANK(B22:C22)+COUNTBLANK(E22)+COUNTBLANK(H22:I22)+COUNTBLANK(N22))&amp;" required"))</f>
        <v/>
      </c>
      <c r="R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>
        <f>IF(A23="","",IF(COUNTBLANK(B23:C23)+COUNTBLANK(E23)+COUNTBLANK(H23:I23)+COUNTBLANK(N23)=0,"Complete","Missing "&amp;(COUNTBLANK(B23:C23)+COUNTBLANK(E23)+COUNTBLANK(H23:I23)+COUNTBLANK(N23))&amp;" required"))</f>
        <v/>
      </c>
      <c r="R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>
        <f>IF(A24="","",IF(COUNTBLANK(B24:C24)+COUNTBLANK(E24)+COUNTBLANK(H24:I24)+COUNTBLANK(N24)=0,"Complete","Missing "&amp;(COUNTBLANK(B24:C24)+COUNTBLANK(E24)+COUNTBLANK(H24:I24)+COUNTBLANK(N24))&amp;" required"))</f>
        <v/>
      </c>
      <c r="R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>
        <f>IF(A25="","",IF(COUNTBLANK(B25:C25)+COUNTBLANK(E25)+COUNTBLANK(H25:I25)+COUNTBLANK(N25)=0,"Complete","Missing "&amp;(COUNTBLANK(B25:C25)+COUNTBLANK(E25)+COUNTBLANK(H25:I25)+COUNTBLANK(N25))&amp;" required"))</f>
        <v/>
      </c>
      <c r="R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>
        <f>IF(A26="","",IF(COUNTBLANK(B26:C26)+COUNTBLANK(E26)+COUNTBLANK(H26:I26)+COUNTBLANK(N26)=0,"Complete","Missing "&amp;(COUNTBLANK(B26:C26)+COUNTBLANK(E26)+COUNTBLANK(H26:I26)+COUNTBLANK(N26))&amp;" required"))</f>
        <v/>
      </c>
      <c r="R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>
        <f>IF(A27="","",IF(COUNTBLANK(B27:C27)+COUNTBLANK(E27)+COUNTBLANK(H27:I27)+COUNTBLANK(N27)=0,"Complete","Missing "&amp;(COUNTBLANK(B27:C27)+COUNTBLANK(E27)+COUNTBLANK(H27:I27)+COUNTBLANK(N27))&amp;" required"))</f>
        <v/>
      </c>
      <c r="R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>
        <f>IF(A28="","",IF(COUNTBLANK(B28:C28)+COUNTBLANK(E28)+COUNTBLANK(H28:I28)+COUNTBLANK(N28)=0,"Complete","Missing "&amp;(COUNTBLANK(B28:C28)+COUNTBLANK(E28)+COUNTBLANK(H28:I28)+COUNTBLANK(N28))&amp;" required"))</f>
        <v/>
      </c>
      <c r="R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>
        <f>IF(A29="","",IF(COUNTBLANK(B29:C29)+COUNTBLANK(E29)+COUNTBLANK(H29:I29)+COUNTBLANK(N29)=0,"Complete","Missing "&amp;(COUNTBLANK(B29:C29)+COUNTBLANK(E29)+COUNTBLANK(H29:I29)+COUNTBLANK(N29))&amp;" required"))</f>
        <v/>
      </c>
      <c r="R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>
        <f>IF(A30="","",IF(COUNTBLANK(B30:C30)+COUNTBLANK(E30)+COUNTBLANK(H30:I30)+COUNTBLANK(N30)=0,"Complete","Missing "&amp;(COUNTBLANK(B30:C30)+COUNTBLANK(E30)+COUNTBLANK(H30:I30)+COUNTBLANK(N30))&amp;" required"))</f>
        <v/>
      </c>
      <c r="R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>
        <f>IF(A31="","",IF(COUNTBLANK(B31:C31)+COUNTBLANK(E31)+COUNTBLANK(H31:I31)+COUNTBLANK(N31)=0,"Complete","Missing "&amp;(COUNTBLANK(B31:C31)+COUNTBLANK(E31)+COUNTBLANK(H31:I31)+COUNTBLANK(N31))&amp;" required"))</f>
        <v/>
      </c>
      <c r="R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>
        <f>IF(A32="","",IF(COUNTBLANK(B32:C32)+COUNTBLANK(E32)+COUNTBLANK(H32:I32)+COUNTBLANK(N32)=0,"Complete","Missing "&amp;(COUNTBLANK(B32:C32)+COUNTBLANK(E32)+COUNTBLANK(H32:I32)+COUNTBLANK(N32))&amp;" required"))</f>
        <v/>
      </c>
      <c r="R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>
        <f>IF(A33="","",IF(COUNTBLANK(B33:C33)+COUNTBLANK(E33)+COUNTBLANK(H33:I33)+COUNTBLANK(N33)=0,"Complete","Missing "&amp;(COUNTBLANK(B33:C33)+COUNTBLANK(E33)+COUNTBLANK(H33:I33)+COUNTBLANK(N33))&amp;" required"))</f>
        <v/>
      </c>
      <c r="R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>
        <f>IF(A34="","",IF(COUNTBLANK(B34:C34)+COUNTBLANK(E34)+COUNTBLANK(H34:I34)+COUNTBLANK(N34)=0,"Complete","Missing "&amp;(COUNTBLANK(B34:C34)+COUNTBLANK(E34)+COUNTBLANK(H34:I34)+COUNTBLANK(N34))&amp;" required"))</f>
        <v/>
      </c>
      <c r="R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>
        <f>IF(A35="","",IF(COUNTBLANK(B35:C35)+COUNTBLANK(E35)+COUNTBLANK(H35:I35)+COUNTBLANK(N35)=0,"Complete","Missing "&amp;(COUNTBLANK(B35:C35)+COUNTBLANK(E35)+COUNTBLANK(H35:I35)+COUNTBLANK(N35))&amp;" required"))</f>
        <v/>
      </c>
      <c r="R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>
        <f>IF(A36="","",IF(COUNTBLANK(B36:C36)+COUNTBLANK(E36)+COUNTBLANK(H36:I36)+COUNTBLANK(N36)=0,"Complete","Missing "&amp;(COUNTBLANK(B36:C36)+COUNTBLANK(E36)+COUNTBLANK(H36:I36)+COUNTBLANK(N36))&amp;" required"))</f>
        <v/>
      </c>
      <c r="R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>
        <f>IF(A37="","",IF(COUNTBLANK(B37:C37)+COUNTBLANK(E37)+COUNTBLANK(H37:I37)+COUNTBLANK(N37)=0,"Complete","Missing "&amp;(COUNTBLANK(B37:C37)+COUNTBLANK(E37)+COUNTBLANK(H37:I37)+COUNTBLANK(N37))&amp;" required"))</f>
        <v/>
      </c>
      <c r="R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>
        <f>IF(A38="","",IF(COUNTBLANK(B38:C38)+COUNTBLANK(E38)+COUNTBLANK(H38:I38)+COUNTBLANK(N38)=0,"Complete","Missing "&amp;(COUNTBLANK(B38:C38)+COUNTBLANK(E38)+COUNTBLANK(H38:I38)+COUNTBLANK(N38))&amp;" required"))</f>
        <v/>
      </c>
      <c r="R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>
        <f>IF(A39="","",IF(COUNTBLANK(B39:C39)+COUNTBLANK(E39)+COUNTBLANK(H39:I39)+COUNTBLANK(N39)=0,"Complete","Missing "&amp;(COUNTBLANK(B39:C39)+COUNTBLANK(E39)+COUNTBLANK(H39:I39)+COUNTBLANK(N39))&amp;" required"))</f>
        <v/>
      </c>
      <c r="R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>
        <f>IF(A40="","",IF(COUNTBLANK(B40:C40)+COUNTBLANK(E40)+COUNTBLANK(H40:I40)+COUNTBLANK(N40)=0,"Complete","Missing "&amp;(COUNTBLANK(B40:C40)+COUNTBLANK(E40)+COUNTBLANK(H40:I40)+COUNTBLANK(N40))&amp;" required"))</f>
        <v/>
      </c>
      <c r="R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>
        <f>IF(A41="","",IF(COUNTBLANK(B41:C41)+COUNTBLANK(E41)+COUNTBLANK(H41:I41)+COUNTBLANK(N41)=0,"Complete","Missing "&amp;(COUNTBLANK(B41:C41)+COUNTBLANK(E41)+COUNTBLANK(H41:I41)+COUNTBLANK(N41))&amp;" required"))</f>
        <v/>
      </c>
      <c r="R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>
        <f>IF(A42="","",IF(COUNTBLANK(B42:C42)+COUNTBLANK(E42)+COUNTBLANK(H42:I42)+COUNTBLANK(N42)=0,"Complete","Missing "&amp;(COUNTBLANK(B42:C42)+COUNTBLANK(E42)+COUNTBLANK(H42:I42)+COUNTBLANK(N42))&amp;" required"))</f>
        <v/>
      </c>
      <c r="R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>
        <f>IF(A43="","",IF(COUNTBLANK(B43:C43)+COUNTBLANK(E43)+COUNTBLANK(H43:I43)+COUNTBLANK(N43)=0,"Complete","Missing "&amp;(COUNTBLANK(B43:C43)+COUNTBLANK(E43)+COUNTBLANK(H43:I43)+COUNTBLANK(N43))&amp;" required"))</f>
        <v/>
      </c>
      <c r="R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>
        <f>IF(A44="","",IF(COUNTBLANK(B44:C44)+COUNTBLANK(E44)+COUNTBLANK(H44:I44)+COUNTBLANK(N44)=0,"Complete","Missing "&amp;(COUNTBLANK(B44:C44)+COUNTBLANK(E44)+COUNTBLANK(H44:I44)+COUNTBLANK(N44))&amp;" required"))</f>
        <v/>
      </c>
      <c r="R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>
        <f>IF(A45="","",IF(COUNTBLANK(B45:C45)+COUNTBLANK(E45)+COUNTBLANK(H45:I45)+COUNTBLANK(N45)=0,"Complete","Missing "&amp;(COUNTBLANK(B45:C45)+COUNTBLANK(E45)+COUNTBLANK(H45:I45)+COUNTBLANK(N45))&amp;" required"))</f>
        <v/>
      </c>
      <c r="R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>
        <f>IF(A46="","",IF(COUNTBLANK(B46:C46)+COUNTBLANK(E46)+COUNTBLANK(H46:I46)+COUNTBLANK(N46)=0,"Complete","Missing "&amp;(COUNTBLANK(B46:C46)+COUNTBLANK(E46)+COUNTBLANK(H46:I46)+COUNTBLANK(N46))&amp;" required"))</f>
        <v/>
      </c>
      <c r="R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>
        <f>IF(A47="","",IF(COUNTBLANK(B47:C47)+COUNTBLANK(E47)+COUNTBLANK(H47:I47)+COUNTBLANK(N47)=0,"Complete","Missing "&amp;(COUNTBLANK(B47:C47)+COUNTBLANK(E47)+COUNTBLANK(H47:I47)+COUNTBLANK(N47))&amp;" required"))</f>
        <v/>
      </c>
      <c r="R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>
        <f>IF(A48="","",IF(COUNTBLANK(B48:C48)+COUNTBLANK(E48)+COUNTBLANK(H48:I48)+COUNTBLANK(N48)=0,"Complete","Missing "&amp;(COUNTBLANK(B48:C48)+COUNTBLANK(E48)+COUNTBLANK(H48:I48)+COUNTBLANK(N48))&amp;" required"))</f>
        <v/>
      </c>
      <c r="R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>
        <f>IF(A49="","",IF(COUNTBLANK(B49:C49)+COUNTBLANK(E49)+COUNTBLANK(H49:I49)+COUNTBLANK(N49)=0,"Complete","Missing "&amp;(COUNTBLANK(B49:C49)+COUNTBLANK(E49)+COUNTBLANK(H49:I49)+COUNTBLANK(N49))&amp;" required"))</f>
        <v/>
      </c>
      <c r="R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>
        <f>IF(A50="","",IF(COUNTBLANK(B50:C50)+COUNTBLANK(E50)+COUNTBLANK(H50:I50)+COUNTBLANK(N50)=0,"Complete","Missing "&amp;(COUNTBLANK(B50:C50)+COUNTBLANK(E50)+COUNTBLANK(H50:I50)+COUNTBLANK(N50))&amp;" required"))</f>
        <v/>
      </c>
      <c r="R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>
        <f>IF(A51="","",IF(COUNTBLANK(B51:C51)+COUNTBLANK(E51)+COUNTBLANK(H51:I51)+COUNTBLANK(N51)=0,"Complete","Missing "&amp;(COUNTBLANK(B51:C51)+COUNTBLANK(E51)+COUNTBLANK(H51:I51)+COUNTBLANK(N51))&amp;" required"))</f>
        <v/>
      </c>
      <c r="R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>
        <f>IF(A52="","",IF(COUNTBLANK(B52:C52)+COUNTBLANK(E52)+COUNTBLANK(H52:I52)+COUNTBLANK(N52)=0,"Complete","Missing "&amp;(COUNTBLANK(B52:C52)+COUNTBLANK(E52)+COUNTBLANK(H52:I52)+COUNTBLANK(N52))&amp;" required"))</f>
        <v/>
      </c>
      <c r="R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>
        <f>IF(A53="","",IF(COUNTBLANK(B53:C53)+COUNTBLANK(E53)+COUNTBLANK(H53:I53)+COUNTBLANK(N53)=0,"Complete","Missing "&amp;(COUNTBLANK(B53:C53)+COUNTBLANK(E53)+COUNTBLANK(H53:I53)+COUNTBLANK(N53))&amp;" required"))</f>
        <v/>
      </c>
      <c r="R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>
        <f>IF(A54="","",IF(COUNTBLANK(B54:C54)+COUNTBLANK(E54)+COUNTBLANK(H54:I54)+COUNTBLANK(N54)=0,"Complete","Missing "&amp;(COUNTBLANK(B54:C54)+COUNTBLANK(E54)+COUNTBLANK(H54:I54)+COUNTBLANK(N54))&amp;" required"))</f>
        <v/>
      </c>
      <c r="R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>
        <f>IF(A55="","",IF(COUNTBLANK(B55:C55)+COUNTBLANK(E55)+COUNTBLANK(H55:I55)+COUNTBLANK(N55)=0,"Complete","Missing "&amp;(COUNTBLANK(B55:C55)+COUNTBLANK(E55)+COUNTBLANK(H55:I55)+COUNTBLANK(N55))&amp;" required"))</f>
        <v/>
      </c>
      <c r="R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>
        <f>IF(A56="","",IF(COUNTBLANK(B56:C56)+COUNTBLANK(E56)+COUNTBLANK(H56:I56)+COUNTBLANK(N56)=0,"Complete","Missing "&amp;(COUNTBLANK(B56:C56)+COUNTBLANK(E56)+COUNTBLANK(H56:I56)+COUNTBLANK(N56))&amp;" required"))</f>
        <v/>
      </c>
      <c r="R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>
        <f>IF(A57="","",IF(COUNTBLANK(B57:C57)+COUNTBLANK(E57)+COUNTBLANK(H57:I57)+COUNTBLANK(N57)=0,"Complete","Missing "&amp;(COUNTBLANK(B57:C57)+COUNTBLANK(E57)+COUNTBLANK(H57:I57)+COUNTBLANK(N57))&amp;" required"))</f>
        <v/>
      </c>
      <c r="R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>
        <f>IF(A58="","",IF(COUNTBLANK(B58:C58)+COUNTBLANK(E58)+COUNTBLANK(H58:I58)+COUNTBLANK(N58)=0,"Complete","Missing "&amp;(COUNTBLANK(B58:C58)+COUNTBLANK(E58)+COUNTBLANK(H58:I58)+COUNTBLANK(N58))&amp;" required"))</f>
        <v/>
      </c>
      <c r="R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>
        <f>IF(A59="","",IF(COUNTBLANK(B59:C59)+COUNTBLANK(E59)+COUNTBLANK(H59:I59)+COUNTBLANK(N59)=0,"Complete","Missing "&amp;(COUNTBLANK(B59:C59)+COUNTBLANK(E59)+COUNTBLANK(H59:I59)+COUNTBLANK(N59))&amp;" required"))</f>
        <v/>
      </c>
      <c r="R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>
        <f>IF(A60="","",IF(COUNTBLANK(B60:C60)+COUNTBLANK(E60)+COUNTBLANK(H60:I60)+COUNTBLANK(N60)=0,"Complete","Missing "&amp;(COUNTBLANK(B60:C60)+COUNTBLANK(E60)+COUNTBLANK(H60:I60)+COUNTBLANK(N60))&amp;" required"))</f>
        <v/>
      </c>
      <c r="R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>
        <f>IF(A61="","",IF(COUNTBLANK(B61:C61)+COUNTBLANK(E61)+COUNTBLANK(H61:I61)+COUNTBLANK(N61)=0,"Complete","Missing "&amp;(COUNTBLANK(B61:C61)+COUNTBLANK(E61)+COUNTBLANK(H61:I61)+COUNTBLANK(N61))&amp;" required"))</f>
        <v/>
      </c>
      <c r="R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>
        <f>IF(A62="","",IF(COUNTBLANK(B62:C62)+COUNTBLANK(E62)+COUNTBLANK(H62:I62)+COUNTBLANK(N62)=0,"Complete","Missing "&amp;(COUNTBLANK(B62:C62)+COUNTBLANK(E62)+COUNTBLANK(H62:I62)+COUNTBLANK(N62))&amp;" required"))</f>
        <v/>
      </c>
      <c r="R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>
        <f>IF(A63="","",IF(COUNTBLANK(B63:C63)+COUNTBLANK(E63)+COUNTBLANK(H63:I63)+COUNTBLANK(N63)=0,"Complete","Missing "&amp;(COUNTBLANK(B63:C63)+COUNTBLANK(E63)+COUNTBLANK(H63:I63)+COUNTBLANK(N63))&amp;" required"))</f>
        <v/>
      </c>
      <c r="R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>
        <f>IF(A64="","",IF(COUNTBLANK(B64:C64)+COUNTBLANK(E64)+COUNTBLANK(H64:I64)+COUNTBLANK(N64)=0,"Complete","Missing "&amp;(COUNTBLANK(B64:C64)+COUNTBLANK(E64)+COUNTBLANK(H64:I64)+COUNTBLANK(N64))&amp;" required"))</f>
        <v/>
      </c>
      <c r="R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>
        <f>IF(A65="","",IF(COUNTBLANK(B65:C65)+COUNTBLANK(E65)+COUNTBLANK(H65:I65)+COUNTBLANK(N65)=0,"Complete","Missing "&amp;(COUNTBLANK(B65:C65)+COUNTBLANK(E65)+COUNTBLANK(H65:I65)+COUNTBLANK(N65))&amp;" required"))</f>
        <v/>
      </c>
      <c r="R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>
        <f>IF(A66="","",IF(COUNTBLANK(B66:C66)+COUNTBLANK(E66)+COUNTBLANK(H66:I66)+COUNTBLANK(N66)=0,"Complete","Missing "&amp;(COUNTBLANK(B66:C66)+COUNTBLANK(E66)+COUNTBLANK(H66:I66)+COUNTBLANK(N66))&amp;" required"))</f>
        <v/>
      </c>
      <c r="R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>
        <f>IF(A67="","",IF(COUNTBLANK(B67:C67)+COUNTBLANK(E67)+COUNTBLANK(H67:I67)+COUNTBLANK(N67)=0,"Complete","Missing "&amp;(COUNTBLANK(B67:C67)+COUNTBLANK(E67)+COUNTBLANK(H67:I67)+COUNTBLANK(N67))&amp;" required"))</f>
        <v/>
      </c>
      <c r="R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>
        <f>IF(A68="","",IF(COUNTBLANK(B68:C68)+COUNTBLANK(E68)+COUNTBLANK(H68:I68)+COUNTBLANK(N68)=0,"Complete","Missing "&amp;(COUNTBLANK(B68:C68)+COUNTBLANK(E68)+COUNTBLANK(H68:I68)+COUNTBLANK(N68))&amp;" required"))</f>
        <v/>
      </c>
      <c r="R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>
        <f>IF(A69="","",IF(COUNTBLANK(B69:C69)+COUNTBLANK(E69)+COUNTBLANK(H69:I69)+COUNTBLANK(N69)=0,"Complete","Missing "&amp;(COUNTBLANK(B69:C69)+COUNTBLANK(E69)+COUNTBLANK(H69:I69)+COUNTBLANK(N69))&amp;" required"))</f>
        <v/>
      </c>
      <c r="R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>
        <f>IF(A70="","",IF(COUNTBLANK(B70:C70)+COUNTBLANK(E70)+COUNTBLANK(H70:I70)+COUNTBLANK(N70)=0,"Complete","Missing "&amp;(COUNTBLANK(B70:C70)+COUNTBLANK(E70)+COUNTBLANK(H70:I70)+COUNTBLANK(N70))&amp;" required"))</f>
        <v/>
      </c>
      <c r="R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>
        <f>IF(A71="","",IF(COUNTBLANK(B71:C71)+COUNTBLANK(E71)+COUNTBLANK(H71:I71)+COUNTBLANK(N71)=0,"Complete","Missing "&amp;(COUNTBLANK(B71:C71)+COUNTBLANK(E71)+COUNTBLANK(H71:I71)+COUNTBLANK(N71))&amp;" required"))</f>
        <v/>
      </c>
      <c r="R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>
        <f>IF(A72="","",IF(COUNTBLANK(B72:C72)+COUNTBLANK(E72)+COUNTBLANK(H72:I72)+COUNTBLANK(N72)=0,"Complete","Missing "&amp;(COUNTBLANK(B72:C72)+COUNTBLANK(E72)+COUNTBLANK(H72:I72)+COUNTBLANK(N72))&amp;" required"))</f>
        <v/>
      </c>
      <c r="R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>
        <f>IF(A73="","",IF(COUNTBLANK(B73:C73)+COUNTBLANK(E73)+COUNTBLANK(H73:I73)+COUNTBLANK(N73)=0,"Complete","Missing "&amp;(COUNTBLANK(B73:C73)+COUNTBLANK(E73)+COUNTBLANK(H73:I73)+COUNTBLANK(N73))&amp;" required"))</f>
        <v/>
      </c>
      <c r="R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>
        <f>IF(A74="","",IF(COUNTBLANK(B74:C74)+COUNTBLANK(E74)+COUNTBLANK(H74:I74)+COUNTBLANK(N74)=0,"Complete","Missing "&amp;(COUNTBLANK(B74:C74)+COUNTBLANK(E74)+COUNTBLANK(H74:I74)+COUNTBLANK(N74))&amp;" required"))</f>
        <v/>
      </c>
      <c r="R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>
        <f>IF(A75="","",IF(COUNTBLANK(B75:C75)+COUNTBLANK(E75)+COUNTBLANK(H75:I75)+COUNTBLANK(N75)=0,"Complete","Missing "&amp;(COUNTBLANK(B75:C75)+COUNTBLANK(E75)+COUNTBLANK(H75:I75)+COUNTBLANK(N75))&amp;" required"))</f>
        <v/>
      </c>
      <c r="R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>
        <f>IF(A76="","",IF(COUNTBLANK(B76:C76)+COUNTBLANK(E76)+COUNTBLANK(H76:I76)+COUNTBLANK(N76)=0,"Complete","Missing "&amp;(COUNTBLANK(B76:C76)+COUNTBLANK(E76)+COUNTBLANK(H76:I76)+COUNTBLANK(N76))&amp;" required"))</f>
        <v/>
      </c>
      <c r="R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>
        <f>IF(A77="","",IF(COUNTBLANK(B77:C77)+COUNTBLANK(E77)+COUNTBLANK(H77:I77)+COUNTBLANK(N77)=0,"Complete","Missing "&amp;(COUNTBLANK(B77:C77)+COUNTBLANK(E77)+COUNTBLANK(H77:I77)+COUNTBLANK(N77))&amp;" required"))</f>
        <v/>
      </c>
      <c r="R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>
        <f>IF(A78="","",IF(COUNTBLANK(B78:C78)+COUNTBLANK(E78)+COUNTBLANK(H78:I78)+COUNTBLANK(N78)=0,"Complete","Missing "&amp;(COUNTBLANK(B78:C78)+COUNTBLANK(E78)+COUNTBLANK(H78:I78)+COUNTBLANK(N78))&amp;" required"))</f>
        <v/>
      </c>
      <c r="R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>
        <f>IF(A79="","",IF(COUNTBLANK(B79:C79)+COUNTBLANK(E79)+COUNTBLANK(H79:I79)+COUNTBLANK(N79)=0,"Complete","Missing "&amp;(COUNTBLANK(B79:C79)+COUNTBLANK(E79)+COUNTBLANK(H79:I79)+COUNTBLANK(N79))&amp;" required"))</f>
        <v/>
      </c>
      <c r="R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>
        <f>IF(A80="","",IF(COUNTBLANK(B80:C80)+COUNTBLANK(E80)+COUNTBLANK(H80:I80)+COUNTBLANK(N80)=0,"Complete","Missing "&amp;(COUNTBLANK(B80:C80)+COUNTBLANK(E80)+COUNTBLANK(H80:I80)+COUNTBLANK(N80))&amp;" required"))</f>
        <v/>
      </c>
      <c r="R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>
        <f>IF(A81="","",IF(COUNTBLANK(B81:C81)+COUNTBLANK(E81)+COUNTBLANK(H81:I81)+COUNTBLANK(N81)=0,"Complete","Missing "&amp;(COUNTBLANK(B81:C81)+COUNTBLANK(E81)+COUNTBLANK(H81:I81)+COUNTBLANK(N81))&amp;" required"))</f>
        <v/>
      </c>
      <c r="R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>
        <f>IF(A82="","",IF(COUNTBLANK(B82:C82)+COUNTBLANK(E82)+COUNTBLANK(H82:I82)+COUNTBLANK(N82)=0,"Complete","Missing "&amp;(COUNTBLANK(B82:C82)+COUNTBLANK(E82)+COUNTBLANK(H82:I82)+COUNTBLANK(N82))&amp;" required"))</f>
        <v/>
      </c>
      <c r="R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>
        <f>IF(A83="","",IF(COUNTBLANK(B83:C83)+COUNTBLANK(E83)+COUNTBLANK(H83:I83)+COUNTBLANK(N83)=0,"Complete","Missing "&amp;(COUNTBLANK(B83:C83)+COUNTBLANK(E83)+COUNTBLANK(H83:I83)+COUNTBLANK(N83))&amp;" required"))</f>
        <v/>
      </c>
      <c r="R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>
        <f>IF(A84="","",IF(COUNTBLANK(B84:C84)+COUNTBLANK(E84)+COUNTBLANK(H84:I84)+COUNTBLANK(N84)=0,"Complete","Missing "&amp;(COUNTBLANK(B84:C84)+COUNTBLANK(E84)+COUNTBLANK(H84:I84)+COUNTBLANK(N84))&amp;" required"))</f>
        <v/>
      </c>
      <c r="R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>
        <f>IF(A85="","",IF(COUNTBLANK(B85:C85)+COUNTBLANK(E85)+COUNTBLANK(H85:I85)+COUNTBLANK(N85)=0,"Complete","Missing "&amp;(COUNTBLANK(B85:C85)+COUNTBLANK(E85)+COUNTBLANK(H85:I85)+COUNTBLANK(N85))&amp;" required"))</f>
        <v/>
      </c>
      <c r="R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>
        <f>IF(A86="","",IF(COUNTBLANK(B86:C86)+COUNTBLANK(E86)+COUNTBLANK(H86:I86)+COUNTBLANK(N86)=0,"Complete","Missing "&amp;(COUNTBLANK(B86:C86)+COUNTBLANK(E86)+COUNTBLANK(H86:I86)+COUNTBLANK(N86))&amp;" required"))</f>
        <v/>
      </c>
      <c r="R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>
        <f>IF(A87="","",IF(COUNTBLANK(B87:C87)+COUNTBLANK(E87)+COUNTBLANK(H87:I87)+COUNTBLANK(N87)=0,"Complete","Missing "&amp;(COUNTBLANK(B87:C87)+COUNTBLANK(E87)+COUNTBLANK(H87:I87)+COUNTBLANK(N87))&amp;" required"))</f>
        <v/>
      </c>
      <c r="R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>
        <f>IF(A88="","",IF(COUNTBLANK(B88:C88)+COUNTBLANK(E88)+COUNTBLANK(H88:I88)+COUNTBLANK(N88)=0,"Complete","Missing "&amp;(COUNTBLANK(B88:C88)+COUNTBLANK(E88)+COUNTBLANK(H88:I88)+COUNTBLANK(N88))&amp;" required"))</f>
        <v/>
      </c>
      <c r="R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>
        <f>IF(A89="","",IF(COUNTBLANK(B89:C89)+COUNTBLANK(E89)+COUNTBLANK(H89:I89)+COUNTBLANK(N89)=0,"Complete","Missing "&amp;(COUNTBLANK(B89:C89)+COUNTBLANK(E89)+COUNTBLANK(H89:I89)+COUNTBLANK(N89))&amp;" required"))</f>
        <v/>
      </c>
      <c r="R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>
        <f>IF(A90="","",IF(COUNTBLANK(B90:C90)+COUNTBLANK(E90)+COUNTBLANK(H90:I90)+COUNTBLANK(N90)=0,"Complete","Missing "&amp;(COUNTBLANK(B90:C90)+COUNTBLANK(E90)+COUNTBLANK(H90:I90)+COUNTBLANK(N90))&amp;" required"))</f>
        <v/>
      </c>
      <c r="R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>
        <f>IF(A91="","",IF(COUNTBLANK(B91:C91)+COUNTBLANK(E91)+COUNTBLANK(H91:I91)+COUNTBLANK(N91)=0,"Complete","Missing "&amp;(COUNTBLANK(B91:C91)+COUNTBLANK(E91)+COUNTBLANK(H91:I91)+COUNTBLANK(N91))&amp;" required"))</f>
        <v/>
      </c>
      <c r="R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>
        <f>IF(A92="","",IF(COUNTBLANK(B92:C92)+COUNTBLANK(E92)+COUNTBLANK(H92:I92)+COUNTBLANK(N92)=0,"Complete","Missing "&amp;(COUNTBLANK(B92:C92)+COUNTBLANK(E92)+COUNTBLANK(H92:I92)+COUNTBLANK(N92))&amp;" required"))</f>
        <v/>
      </c>
      <c r="R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>
        <f>IF(A93="","",IF(COUNTBLANK(B93:C93)+COUNTBLANK(E93)+COUNTBLANK(H93:I93)+COUNTBLANK(N93)=0,"Complete","Missing "&amp;(COUNTBLANK(B93:C93)+COUNTBLANK(E93)+COUNTBLANK(H93:I93)+COUNTBLANK(N93))&amp;" required"))</f>
        <v/>
      </c>
      <c r="R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>
        <f>IF(A94="","",IF(COUNTBLANK(B94:C94)+COUNTBLANK(E94)+COUNTBLANK(H94:I94)+COUNTBLANK(N94)=0,"Complete","Missing "&amp;(COUNTBLANK(B94:C94)+COUNTBLANK(E94)+COUNTBLANK(H94:I94)+COUNTBLANK(N94))&amp;" required"))</f>
        <v/>
      </c>
      <c r="R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>
        <f>IF(A95="","",IF(COUNTBLANK(B95:C95)+COUNTBLANK(E95)+COUNTBLANK(H95:I95)+COUNTBLANK(N95)=0,"Complete","Missing "&amp;(COUNTBLANK(B95:C95)+COUNTBLANK(E95)+COUNTBLANK(H95:I95)+COUNTBLANK(N95))&amp;" required"))</f>
        <v/>
      </c>
      <c r="R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>
        <f>IF(A96="","",IF(COUNTBLANK(B96:C96)+COUNTBLANK(E96)+COUNTBLANK(H96:I96)+COUNTBLANK(N96)=0,"Complete","Missing "&amp;(COUNTBLANK(B96:C96)+COUNTBLANK(E96)+COUNTBLANK(H96:I96)+COUNTBLANK(N96))&amp;" required"))</f>
        <v/>
      </c>
      <c r="R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>
        <f>IF(A97="","",IF(COUNTBLANK(B97:C97)+COUNTBLANK(E97)+COUNTBLANK(H97:I97)+COUNTBLANK(N97)=0,"Complete","Missing "&amp;(COUNTBLANK(B97:C97)+COUNTBLANK(E97)+COUNTBLANK(H97:I97)+COUNTBLANK(N97))&amp;" required"))</f>
        <v/>
      </c>
      <c r="R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>
        <f>IF(A98="","",IF(COUNTBLANK(B98:C98)+COUNTBLANK(E98)+COUNTBLANK(H98:I98)+COUNTBLANK(N98)=0,"Complete","Missing "&amp;(COUNTBLANK(B98:C98)+COUNTBLANK(E98)+COUNTBLANK(H98:I98)+COUNTBLANK(N98))&amp;" required"))</f>
        <v/>
      </c>
      <c r="R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>
        <f>IF(A99="","",IF(COUNTBLANK(B99:C99)+COUNTBLANK(E99)+COUNTBLANK(H99:I99)+COUNTBLANK(N99)=0,"Complete","Missing "&amp;(COUNTBLANK(B99:C99)+COUNTBLANK(E99)+COUNTBLANK(H99:I99)+COUNTBLANK(N99))&amp;" required"))</f>
        <v/>
      </c>
      <c r="R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>
        <f>IF(A100="","",IF(COUNTBLANK(B100:C100)+COUNTBLANK(E100)+COUNTBLANK(H100:I100)+COUNTBLANK(N100)=0,"Complete","Missing "&amp;(COUNTBLANK(B100:C100)+COUNTBLANK(E100)+COUNTBLANK(H100:I100)+COUNTBLANK(N100))&amp;" required"))</f>
        <v/>
      </c>
      <c r="R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>
        <f>IF(A101="","",IF(COUNTBLANK(B101:C101)+COUNTBLANK(E101)+COUNTBLANK(H101:I101)+COUNTBLANK(N101)=0,"Complete","Missing "&amp;(COUNTBLANK(B101:C101)+COUNTBLANK(E101)+COUNTBLANK(H101:I101)+COUNTBLANK(N101))&amp;" required"))</f>
        <v/>
      </c>
      <c r="R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>
        <f>IF(A102="","",IF(COUNTBLANK(B102:C102)+COUNTBLANK(E102)+COUNTBLANK(H102:I102)+COUNTBLANK(N102)=0,"Complete","Missing "&amp;(COUNTBLANK(B102:C102)+COUNTBLANK(E102)+COUNTBLANK(H102:I102)+COUNTBLANK(N102))&amp;" required"))</f>
        <v/>
      </c>
      <c r="R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>
        <f>IF(A103="","",IF(COUNTBLANK(B103:C103)+COUNTBLANK(E103)+COUNTBLANK(H103:I103)+COUNTBLANK(N103)=0,"Complete","Missing "&amp;(COUNTBLANK(B103:C103)+COUNTBLANK(E103)+COUNTBLANK(H103:I103)+COUNTBLANK(N103))&amp;" required"))</f>
        <v/>
      </c>
      <c r="R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>
        <f>IF(A104="","",IF(COUNTBLANK(B104:C104)+COUNTBLANK(E104)+COUNTBLANK(H104:I104)+COUNTBLANK(N104)=0,"Complete","Missing "&amp;(COUNTBLANK(B104:C104)+COUNTBLANK(E104)+COUNTBLANK(H104:I104)+COUNTBLANK(N104))&amp;" required"))</f>
        <v/>
      </c>
      <c r="R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>
        <f>IF(A105="","",IF(COUNTBLANK(B105:C105)+COUNTBLANK(E105)+COUNTBLANK(H105:I105)+COUNTBLANK(N105)=0,"Complete","Missing "&amp;(COUNTBLANK(B105:C105)+COUNTBLANK(E105)+COUNTBLANK(H105:I105)+COUNTBLANK(N105))&amp;" required"))</f>
        <v/>
      </c>
      <c r="R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>
        <f>IF(A106="","",IF(COUNTBLANK(B106:C106)+COUNTBLANK(E106)+COUNTBLANK(H106:I106)+COUNTBLANK(N106)=0,"Complete","Missing "&amp;(COUNTBLANK(B106:C106)+COUNTBLANK(E106)+COUNTBLANK(H106:I106)+COUNTBLANK(N106))&amp;" required"))</f>
        <v/>
      </c>
      <c r="R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>
        <f>IF(A107="","",IF(COUNTBLANK(B107:C107)+COUNTBLANK(E107)+COUNTBLANK(H107:I107)+COUNTBLANK(N107)=0,"Complete","Missing "&amp;(COUNTBLANK(B107:C107)+COUNTBLANK(E107)+COUNTBLANK(H107:I107)+COUNTBLANK(N107))&amp;" required"))</f>
        <v/>
      </c>
      <c r="R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>
        <f>IF(A108="","",IF(COUNTBLANK(B108:C108)+COUNTBLANK(E108)+COUNTBLANK(H108:I108)+COUNTBLANK(N108)=0,"Complete","Missing "&amp;(COUNTBLANK(B108:C108)+COUNTBLANK(E108)+COUNTBLANK(H108:I108)+COUNTBLANK(N108))&amp;" required"))</f>
        <v/>
      </c>
      <c r="R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>
        <f>IF(A109="","",IF(COUNTBLANK(B109:C109)+COUNTBLANK(E109)+COUNTBLANK(H109:I109)+COUNTBLANK(N109)=0,"Complete","Missing "&amp;(COUNTBLANK(B109:C109)+COUNTBLANK(E109)+COUNTBLANK(H109:I109)+COUNTBLANK(N109))&amp;" required"))</f>
        <v/>
      </c>
      <c r="R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>
        <f>IF(A110="","",IF(COUNTBLANK(B110:C110)+COUNTBLANK(E110)+COUNTBLANK(H110:I110)+COUNTBLANK(N110)=0,"Complete","Missing "&amp;(COUNTBLANK(B110:C110)+COUNTBLANK(E110)+COUNTBLANK(H110:I110)+COUNTBLANK(N110))&amp;" required"))</f>
        <v/>
      </c>
      <c r="R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>
        <f>IF(A111="","",IF(COUNTBLANK(B111:C111)+COUNTBLANK(E111)+COUNTBLANK(H111:I111)+COUNTBLANK(N111)=0,"Complete","Missing "&amp;(COUNTBLANK(B111:C111)+COUNTBLANK(E111)+COUNTBLANK(H111:I111)+COUNTBLANK(N111))&amp;" required"))</f>
        <v/>
      </c>
      <c r="R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>
        <f>IF(A112="","",IF(COUNTBLANK(B112:C112)+COUNTBLANK(E112)+COUNTBLANK(H112:I112)+COUNTBLANK(N112)=0,"Complete","Missing "&amp;(COUNTBLANK(B112:C112)+COUNTBLANK(E112)+COUNTBLANK(H112:I112)+COUNTBLANK(N112))&amp;" required"))</f>
        <v/>
      </c>
      <c r="R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>
        <f>IF(A113="","",IF(COUNTBLANK(B113:C113)+COUNTBLANK(E113)+COUNTBLANK(H113:I113)+COUNTBLANK(N113)=0,"Complete","Missing "&amp;(COUNTBLANK(B113:C113)+COUNTBLANK(E113)+COUNTBLANK(H113:I113)+COUNTBLANK(N113))&amp;" required"))</f>
        <v/>
      </c>
      <c r="R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>
        <f>IF(A114="","",IF(COUNTBLANK(B114:C114)+COUNTBLANK(E114)+COUNTBLANK(H114:I114)+COUNTBLANK(N114)=0,"Complete","Missing "&amp;(COUNTBLANK(B114:C114)+COUNTBLANK(E114)+COUNTBLANK(H114:I114)+COUNTBLANK(N114))&amp;" required"))</f>
        <v/>
      </c>
      <c r="R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>
        <f>IF(A115="","",IF(COUNTBLANK(B115:C115)+COUNTBLANK(E115)+COUNTBLANK(H115:I115)+COUNTBLANK(N115)=0,"Complete","Missing "&amp;(COUNTBLANK(B115:C115)+COUNTBLANK(E115)+COUNTBLANK(H115:I115)+COUNTBLANK(N115))&amp;" required"))</f>
        <v/>
      </c>
      <c r="R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>
        <f>IF(A116="","",IF(COUNTBLANK(B116:C116)+COUNTBLANK(E116)+COUNTBLANK(H116:I116)+COUNTBLANK(N116)=0,"Complete","Missing "&amp;(COUNTBLANK(B116:C116)+COUNTBLANK(E116)+COUNTBLANK(H116:I116)+COUNTBLANK(N116))&amp;" required"))</f>
        <v/>
      </c>
      <c r="R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>
        <f>IF(A117="","",IF(COUNTBLANK(B117:C117)+COUNTBLANK(E117)+COUNTBLANK(H117:I117)+COUNTBLANK(N117)=0,"Complete","Missing "&amp;(COUNTBLANK(B117:C117)+COUNTBLANK(E117)+COUNTBLANK(H117:I117)+COUNTBLANK(N117))&amp;" required"))</f>
        <v/>
      </c>
      <c r="R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>
        <f>IF(A118="","",IF(COUNTBLANK(B118:C118)+COUNTBLANK(E118)+COUNTBLANK(H118:I118)+COUNTBLANK(N118)=0,"Complete","Missing "&amp;(COUNTBLANK(B118:C118)+COUNTBLANK(E118)+COUNTBLANK(H118:I118)+COUNTBLANK(N118))&amp;" required"))</f>
        <v/>
      </c>
      <c r="R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>
        <f>IF(A119="","",IF(COUNTBLANK(B119:C119)+COUNTBLANK(E119)+COUNTBLANK(H119:I119)+COUNTBLANK(N119)=0,"Complete","Missing "&amp;(COUNTBLANK(B119:C119)+COUNTBLANK(E119)+COUNTBLANK(H119:I119)+COUNTBLANK(N119))&amp;" required"))</f>
        <v/>
      </c>
      <c r="R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>
        <f>IF(A120="","",IF(COUNTBLANK(B120:C120)+COUNTBLANK(E120)+COUNTBLANK(H120:I120)+COUNTBLANK(N120)=0,"Complete","Missing "&amp;(COUNTBLANK(B120:C120)+COUNTBLANK(E120)+COUNTBLANK(H120:I120)+COUNTBLANK(N120))&amp;" required"))</f>
        <v/>
      </c>
      <c r="R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>
        <f>IF(A121="","",IF(COUNTBLANK(B121:C121)+COUNTBLANK(E121)+COUNTBLANK(H121:I121)+COUNTBLANK(N121)=0,"Complete","Missing "&amp;(COUNTBLANK(B121:C121)+COUNTBLANK(E121)+COUNTBLANK(H121:I121)+COUNTBLANK(N121))&amp;" required"))</f>
        <v/>
      </c>
      <c r="R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>
        <f>IF(A122="","",IF(COUNTBLANK(B122:C122)+COUNTBLANK(E122)+COUNTBLANK(H122:I122)+COUNTBLANK(N122)=0,"Complete","Missing "&amp;(COUNTBLANK(B122:C122)+COUNTBLANK(E122)+COUNTBLANK(H122:I122)+COUNTBLANK(N122))&amp;" required"))</f>
        <v/>
      </c>
      <c r="R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>
        <f>IF(A123="","",IF(COUNTBLANK(B123:C123)+COUNTBLANK(E123)+COUNTBLANK(H123:I123)+COUNTBLANK(N123)=0,"Complete","Missing "&amp;(COUNTBLANK(B123:C123)+COUNTBLANK(E123)+COUNTBLANK(H123:I123)+COUNTBLANK(N123))&amp;" required"))</f>
        <v/>
      </c>
      <c r="R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>
        <f>IF(A124="","",IF(COUNTBLANK(B124:C124)+COUNTBLANK(E124)+COUNTBLANK(H124:I124)+COUNTBLANK(N124)=0,"Complete","Missing "&amp;(COUNTBLANK(B124:C124)+COUNTBLANK(E124)+COUNTBLANK(H124:I124)+COUNTBLANK(N124))&amp;" required"))</f>
        <v/>
      </c>
      <c r="R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>
        <f>IF(A125="","",IF(COUNTBLANK(B125:C125)+COUNTBLANK(E125)+COUNTBLANK(H125:I125)+COUNTBLANK(N125)=0,"Complete","Missing "&amp;(COUNTBLANK(B125:C125)+COUNTBLANK(E125)+COUNTBLANK(H125:I125)+COUNTBLANK(N125))&amp;" required"))</f>
        <v/>
      </c>
      <c r="R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>
        <f>IF(A126="","",IF(COUNTBLANK(B126:C126)+COUNTBLANK(E126)+COUNTBLANK(H126:I126)+COUNTBLANK(N126)=0,"Complete","Missing "&amp;(COUNTBLANK(B126:C126)+COUNTBLANK(E126)+COUNTBLANK(H126:I126)+COUNTBLANK(N126))&amp;" required"))</f>
        <v/>
      </c>
      <c r="R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>
        <f>IF(A127="","",IF(COUNTBLANK(B127:C127)+COUNTBLANK(E127)+COUNTBLANK(H127:I127)+COUNTBLANK(N127)=0,"Complete","Missing "&amp;(COUNTBLANK(B127:C127)+COUNTBLANK(E127)+COUNTBLANK(H127:I127)+COUNTBLANK(N127))&amp;" required"))</f>
        <v/>
      </c>
      <c r="R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>
        <f>IF(A128="","",IF(COUNTBLANK(B128:C128)+COUNTBLANK(E128)+COUNTBLANK(H128:I128)+COUNTBLANK(N128)=0,"Complete","Missing "&amp;(COUNTBLANK(B128:C128)+COUNTBLANK(E128)+COUNTBLANK(H128:I128)+COUNTBLANK(N128))&amp;" required"))</f>
        <v/>
      </c>
      <c r="R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>
        <f>IF(A129="","",IF(COUNTBLANK(B129:C129)+COUNTBLANK(E129)+COUNTBLANK(H129:I129)+COUNTBLANK(N129)=0,"Complete","Missing "&amp;(COUNTBLANK(B129:C129)+COUNTBLANK(E129)+COUNTBLANK(H129:I129)+COUNTBLANK(N129))&amp;" required"))</f>
        <v/>
      </c>
      <c r="R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>
        <f>IF(A130="","",IF(COUNTBLANK(B130:C130)+COUNTBLANK(E130)+COUNTBLANK(H130:I130)+COUNTBLANK(N130)=0,"Complete","Missing "&amp;(COUNTBLANK(B130:C130)+COUNTBLANK(E130)+COUNTBLANK(H130:I130)+COUNTBLANK(N130))&amp;" required"))</f>
        <v/>
      </c>
      <c r="R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>
        <f>IF(A131="","",IF(COUNTBLANK(B131:C131)+COUNTBLANK(E131)+COUNTBLANK(H131:I131)+COUNTBLANK(N131)=0,"Complete","Missing "&amp;(COUNTBLANK(B131:C131)+COUNTBLANK(E131)+COUNTBLANK(H131:I131)+COUNTBLANK(N131))&amp;" required"))</f>
        <v/>
      </c>
      <c r="R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>
        <f>IF(A132="","",IF(COUNTBLANK(B132:C132)+COUNTBLANK(E132)+COUNTBLANK(H132:I132)+COUNTBLANK(N132)=0,"Complete","Missing "&amp;(COUNTBLANK(B132:C132)+COUNTBLANK(E132)+COUNTBLANK(H132:I132)+COUNTBLANK(N132))&amp;" required"))</f>
        <v/>
      </c>
      <c r="R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>
        <f>IF(A133="","",IF(COUNTBLANK(B133:C133)+COUNTBLANK(E133)+COUNTBLANK(H133:I133)+COUNTBLANK(N133)=0,"Complete","Missing "&amp;(COUNTBLANK(B133:C133)+COUNTBLANK(E133)+COUNTBLANK(H133:I133)+COUNTBLANK(N133))&amp;" required"))</f>
        <v/>
      </c>
      <c r="R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>
        <f>IF(A134="","",IF(COUNTBLANK(B134:C134)+COUNTBLANK(E134)+COUNTBLANK(H134:I134)+COUNTBLANK(N134)=0,"Complete","Missing "&amp;(COUNTBLANK(B134:C134)+COUNTBLANK(E134)+COUNTBLANK(H134:I134)+COUNTBLANK(N134))&amp;" required"))</f>
        <v/>
      </c>
      <c r="R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>
        <f>IF(A135="","",IF(COUNTBLANK(B135:C135)+COUNTBLANK(E135)+COUNTBLANK(H135:I135)+COUNTBLANK(N135)=0,"Complete","Missing "&amp;(COUNTBLANK(B135:C135)+COUNTBLANK(E135)+COUNTBLANK(H135:I135)+COUNTBLANK(N135))&amp;" required"))</f>
        <v/>
      </c>
      <c r="R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>
        <f>IF(A136="","",IF(COUNTBLANK(B136:C136)+COUNTBLANK(E136)+COUNTBLANK(H136:I136)+COUNTBLANK(N136)=0,"Complete","Missing "&amp;(COUNTBLANK(B136:C136)+COUNTBLANK(E136)+COUNTBLANK(H136:I136)+COUNTBLANK(N136))&amp;" required"))</f>
        <v/>
      </c>
      <c r="R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>
        <f>IF(A137="","",IF(COUNTBLANK(B137:C137)+COUNTBLANK(E137)+COUNTBLANK(H137:I137)+COUNTBLANK(N137)=0,"Complete","Missing "&amp;(COUNTBLANK(B137:C137)+COUNTBLANK(E137)+COUNTBLANK(H137:I137)+COUNTBLANK(N137))&amp;" required"))</f>
        <v/>
      </c>
      <c r="R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>
        <f>IF(A138="","",IF(COUNTBLANK(B138:C138)+COUNTBLANK(E138)+COUNTBLANK(H138:I138)+COUNTBLANK(N138)=0,"Complete","Missing "&amp;(COUNTBLANK(B138:C138)+COUNTBLANK(E138)+COUNTBLANK(H138:I138)+COUNTBLANK(N138))&amp;" required"))</f>
        <v/>
      </c>
      <c r="R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>
        <f>IF(A139="","",IF(COUNTBLANK(B139:C139)+COUNTBLANK(E139)+COUNTBLANK(H139:I139)+COUNTBLANK(N139)=0,"Complete","Missing "&amp;(COUNTBLANK(B139:C139)+COUNTBLANK(E139)+COUNTBLANK(H139:I139)+COUNTBLANK(N139))&amp;" required"))</f>
        <v/>
      </c>
      <c r="R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>
        <f>IF(A140="","",IF(COUNTBLANK(B140:C140)+COUNTBLANK(E140)+COUNTBLANK(H140:I140)+COUNTBLANK(N140)=0,"Complete","Missing "&amp;(COUNTBLANK(B140:C140)+COUNTBLANK(E140)+COUNTBLANK(H140:I140)+COUNTBLANK(N140))&amp;" required"))</f>
        <v/>
      </c>
      <c r="R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>
        <f>IF(A141="","",IF(COUNTBLANK(B141:C141)+COUNTBLANK(E141)+COUNTBLANK(H141:I141)+COUNTBLANK(N141)=0,"Complete","Missing "&amp;(COUNTBLANK(B141:C141)+COUNTBLANK(E141)+COUNTBLANK(H141:I141)+COUNTBLANK(N141))&amp;" required"))</f>
        <v/>
      </c>
      <c r="R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>
        <f>IF(A142="","",IF(COUNTBLANK(B142:C142)+COUNTBLANK(E142)+COUNTBLANK(H142:I142)+COUNTBLANK(N142)=0,"Complete","Missing "&amp;(COUNTBLANK(B142:C142)+COUNTBLANK(E142)+COUNTBLANK(H142:I142)+COUNTBLANK(N142))&amp;" required"))</f>
        <v/>
      </c>
      <c r="R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>
        <f>IF(A143="","",IF(COUNTBLANK(B143:C143)+COUNTBLANK(E143)+COUNTBLANK(H143:I143)+COUNTBLANK(N143)=0,"Complete","Missing "&amp;(COUNTBLANK(B143:C143)+COUNTBLANK(E143)+COUNTBLANK(H143:I143)+COUNTBLANK(N143))&amp;" required"))</f>
        <v/>
      </c>
      <c r="R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>
        <f>IF(A144="","",IF(COUNTBLANK(B144:C144)+COUNTBLANK(E144)+COUNTBLANK(H144:I144)+COUNTBLANK(N144)=0,"Complete","Missing "&amp;(COUNTBLANK(B144:C144)+COUNTBLANK(E144)+COUNTBLANK(H144:I144)+COUNTBLANK(N144))&amp;" required"))</f>
        <v/>
      </c>
      <c r="R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>
        <f>IF(A145="","",IF(COUNTBLANK(B145:C145)+COUNTBLANK(E145)+COUNTBLANK(H145:I145)+COUNTBLANK(N145)=0,"Complete","Missing "&amp;(COUNTBLANK(B145:C145)+COUNTBLANK(E145)+COUNTBLANK(H145:I145)+COUNTBLANK(N145))&amp;" required"))</f>
        <v/>
      </c>
      <c r="R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>
        <f>IF(A146="","",IF(COUNTBLANK(B146:C146)+COUNTBLANK(E146)+COUNTBLANK(H146:I146)+COUNTBLANK(N146)=0,"Complete","Missing "&amp;(COUNTBLANK(B146:C146)+COUNTBLANK(E146)+COUNTBLANK(H146:I146)+COUNTBLANK(N146))&amp;" required"))</f>
        <v/>
      </c>
      <c r="R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>
        <f>IF(A147="","",IF(COUNTBLANK(B147:C147)+COUNTBLANK(E147)+COUNTBLANK(H147:I147)+COUNTBLANK(N147)=0,"Complete","Missing "&amp;(COUNTBLANK(B147:C147)+COUNTBLANK(E147)+COUNTBLANK(H147:I147)+COUNTBLANK(N147))&amp;" required"))</f>
        <v/>
      </c>
      <c r="R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>
        <f>IF(A148="","",IF(COUNTBLANK(B148:C148)+COUNTBLANK(E148)+COUNTBLANK(H148:I148)+COUNTBLANK(N148)=0,"Complete","Missing "&amp;(COUNTBLANK(B148:C148)+COUNTBLANK(E148)+COUNTBLANK(H148:I148)+COUNTBLANK(N148))&amp;" required"))</f>
        <v/>
      </c>
      <c r="R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>
        <f>IF(A149="","",IF(COUNTBLANK(B149:C149)+COUNTBLANK(E149)+COUNTBLANK(H149:I149)+COUNTBLANK(N149)=0,"Complete","Missing "&amp;(COUNTBLANK(B149:C149)+COUNTBLANK(E149)+COUNTBLANK(H149:I149)+COUNTBLANK(N149))&amp;" required"))</f>
        <v/>
      </c>
      <c r="R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>
        <f>IF(A150="","",IF(COUNTBLANK(B150:C150)+COUNTBLANK(E150)+COUNTBLANK(H150:I150)+COUNTBLANK(N150)=0,"Complete","Missing "&amp;(COUNTBLANK(B150:C150)+COUNTBLANK(E150)+COUNTBLANK(H150:I150)+COUNTBLANK(N150))&amp;" required"))</f>
        <v/>
      </c>
      <c r="R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>
        <f>IF(A151="","",IF(COUNTBLANK(B151:C151)+COUNTBLANK(E151)+COUNTBLANK(H151:I151)+COUNTBLANK(N151)=0,"Complete","Missing "&amp;(COUNTBLANK(B151:C151)+COUNTBLANK(E151)+COUNTBLANK(H151:I151)+COUNTBLANK(N151))&amp;" required"))</f>
        <v/>
      </c>
      <c r="R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>
        <f>IF(A152="","",IF(COUNTBLANK(B152:C152)+COUNTBLANK(E152)+COUNTBLANK(H152:I152)+COUNTBLANK(N152)=0,"Complete","Missing "&amp;(COUNTBLANK(B152:C152)+COUNTBLANK(E152)+COUNTBLANK(H152:I152)+COUNTBLANK(N152))&amp;" required"))</f>
        <v/>
      </c>
      <c r="R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>
        <f>IF(A153="","",IF(COUNTBLANK(B153:C153)+COUNTBLANK(E153)+COUNTBLANK(H153:I153)+COUNTBLANK(N153)=0,"Complete","Missing "&amp;(COUNTBLANK(B153:C153)+COUNTBLANK(E153)+COUNTBLANK(H153:I153)+COUNTBLANK(N153))&amp;" required"))</f>
        <v/>
      </c>
      <c r="R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>
        <f>IF(A154="","",IF(COUNTBLANK(B154:C154)+COUNTBLANK(E154)+COUNTBLANK(H154:I154)+COUNTBLANK(N154)=0,"Complete","Missing "&amp;(COUNTBLANK(B154:C154)+COUNTBLANK(E154)+COUNTBLANK(H154:I154)+COUNTBLANK(N154))&amp;" required"))</f>
        <v/>
      </c>
      <c r="R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>
        <f>IF(A155="","",IF(COUNTBLANK(B155:C155)+COUNTBLANK(E155)+COUNTBLANK(H155:I155)+COUNTBLANK(N155)=0,"Complete","Missing "&amp;(COUNTBLANK(B155:C155)+COUNTBLANK(E155)+COUNTBLANK(H155:I155)+COUNTBLANK(N155))&amp;" required"))</f>
        <v/>
      </c>
      <c r="R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>
        <f>IF(A156="","",IF(COUNTBLANK(B156:C156)+COUNTBLANK(E156)+COUNTBLANK(H156:I156)+COUNTBLANK(N156)=0,"Complete","Missing "&amp;(COUNTBLANK(B156:C156)+COUNTBLANK(E156)+COUNTBLANK(H156:I156)+COUNTBLANK(N156))&amp;" required"))</f>
        <v/>
      </c>
      <c r="R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>
        <f>IF(A157="","",IF(COUNTBLANK(B157:C157)+COUNTBLANK(E157)+COUNTBLANK(H157:I157)+COUNTBLANK(N157)=0,"Complete","Missing "&amp;(COUNTBLANK(B157:C157)+COUNTBLANK(E157)+COUNTBLANK(H157:I157)+COUNTBLANK(N157))&amp;" required"))</f>
        <v/>
      </c>
      <c r="R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>
        <f>IF(A158="","",IF(COUNTBLANK(B158:C158)+COUNTBLANK(E158)+COUNTBLANK(H158:I158)+COUNTBLANK(N158)=0,"Complete","Missing "&amp;(COUNTBLANK(B158:C158)+COUNTBLANK(E158)+COUNTBLANK(H158:I158)+COUNTBLANK(N158))&amp;" required"))</f>
        <v/>
      </c>
      <c r="R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>
        <f>IF(A159="","",IF(COUNTBLANK(B159:C159)+COUNTBLANK(E159)+COUNTBLANK(H159:I159)+COUNTBLANK(N159)=0,"Complete","Missing "&amp;(COUNTBLANK(B159:C159)+COUNTBLANK(E159)+COUNTBLANK(H159:I159)+COUNTBLANK(N159))&amp;" required"))</f>
        <v/>
      </c>
      <c r="R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>
        <f>IF(A160="","",IF(COUNTBLANK(B160:C160)+COUNTBLANK(E160)+COUNTBLANK(H160:I160)+COUNTBLANK(N160)=0,"Complete","Missing "&amp;(COUNTBLANK(B160:C160)+COUNTBLANK(E160)+COUNTBLANK(H160:I160)+COUNTBLANK(N160))&amp;" required"))</f>
        <v/>
      </c>
      <c r="R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>
        <f>IF(A161="","",IF(COUNTBLANK(B161:C161)+COUNTBLANK(E161)+COUNTBLANK(H161:I161)+COUNTBLANK(N161)=0,"Complete","Missing "&amp;(COUNTBLANK(B161:C161)+COUNTBLANK(E161)+COUNTBLANK(H161:I161)+COUNTBLANK(N161))&amp;" required"))</f>
        <v/>
      </c>
      <c r="R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>
        <f>IF(A162="","",IF(COUNTBLANK(B162:C162)+COUNTBLANK(E162)+COUNTBLANK(H162:I162)+COUNTBLANK(N162)=0,"Complete","Missing "&amp;(COUNTBLANK(B162:C162)+COUNTBLANK(E162)+COUNTBLANK(H162:I162)+COUNTBLANK(N162))&amp;" required"))</f>
        <v/>
      </c>
      <c r="R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>
        <f>IF(A163="","",IF(COUNTBLANK(B163:C163)+COUNTBLANK(E163)+COUNTBLANK(H163:I163)+COUNTBLANK(N163)=0,"Complete","Missing "&amp;(COUNTBLANK(B163:C163)+COUNTBLANK(E163)+COUNTBLANK(H163:I163)+COUNTBLANK(N163))&amp;" required"))</f>
        <v/>
      </c>
      <c r="R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>
        <f>IF(A164="","",IF(COUNTBLANK(B164:C164)+COUNTBLANK(E164)+COUNTBLANK(H164:I164)+COUNTBLANK(N164)=0,"Complete","Missing "&amp;(COUNTBLANK(B164:C164)+COUNTBLANK(E164)+COUNTBLANK(H164:I164)+COUNTBLANK(N164))&amp;" required"))</f>
        <v/>
      </c>
      <c r="R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>
        <f>IF(A165="","",IF(COUNTBLANK(B165:C165)+COUNTBLANK(E165)+COUNTBLANK(H165:I165)+COUNTBLANK(N165)=0,"Complete","Missing "&amp;(COUNTBLANK(B165:C165)+COUNTBLANK(E165)+COUNTBLANK(H165:I165)+COUNTBLANK(N165))&amp;" required"))</f>
        <v/>
      </c>
      <c r="R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>
        <f>IF(A166="","",IF(COUNTBLANK(B166:C166)+COUNTBLANK(E166)+COUNTBLANK(H166:I166)+COUNTBLANK(N166)=0,"Complete","Missing "&amp;(COUNTBLANK(B166:C166)+COUNTBLANK(E166)+COUNTBLANK(H166:I166)+COUNTBLANK(N166))&amp;" required"))</f>
        <v/>
      </c>
      <c r="R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>
        <f>IF(A167="","",IF(COUNTBLANK(B167:C167)+COUNTBLANK(E167)+COUNTBLANK(H167:I167)+COUNTBLANK(N167)=0,"Complete","Missing "&amp;(COUNTBLANK(B167:C167)+COUNTBLANK(E167)+COUNTBLANK(H167:I167)+COUNTBLANK(N167))&amp;" required"))</f>
        <v/>
      </c>
      <c r="R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>
        <f>IF(A168="","",IF(COUNTBLANK(B168:C168)+COUNTBLANK(E168)+COUNTBLANK(H168:I168)+COUNTBLANK(N168)=0,"Complete","Missing "&amp;(COUNTBLANK(B168:C168)+COUNTBLANK(E168)+COUNTBLANK(H168:I168)+COUNTBLANK(N168))&amp;" required"))</f>
        <v/>
      </c>
      <c r="R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>
        <f>IF(A169="","",IF(COUNTBLANK(B169:C169)+COUNTBLANK(E169)+COUNTBLANK(H169:I169)+COUNTBLANK(N169)=0,"Complete","Missing "&amp;(COUNTBLANK(B169:C169)+COUNTBLANK(E169)+COUNTBLANK(H169:I169)+COUNTBLANK(N169))&amp;" required"))</f>
        <v/>
      </c>
      <c r="R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>
        <f>IF(A170="","",IF(COUNTBLANK(B170:C170)+COUNTBLANK(E170)+COUNTBLANK(H170:I170)+COUNTBLANK(N170)=0,"Complete","Missing "&amp;(COUNTBLANK(B170:C170)+COUNTBLANK(E170)+COUNTBLANK(H170:I170)+COUNTBLANK(N170))&amp;" required"))</f>
        <v/>
      </c>
      <c r="R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>
        <f>IF(A171="","",IF(COUNTBLANK(B171:C171)+COUNTBLANK(E171)+COUNTBLANK(H171:I171)+COUNTBLANK(N171)=0,"Complete","Missing "&amp;(COUNTBLANK(B171:C171)+COUNTBLANK(E171)+COUNTBLANK(H171:I171)+COUNTBLANK(N171))&amp;" required"))</f>
        <v/>
      </c>
      <c r="R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>
        <f>IF(A172="","",IF(COUNTBLANK(B172:C172)+COUNTBLANK(E172)+COUNTBLANK(H172:I172)+COUNTBLANK(N172)=0,"Complete","Missing "&amp;(COUNTBLANK(B172:C172)+COUNTBLANK(E172)+COUNTBLANK(H172:I172)+COUNTBLANK(N172))&amp;" required"))</f>
        <v/>
      </c>
      <c r="R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>
        <f>IF(A173="","",IF(COUNTBLANK(B173:C173)+COUNTBLANK(E173)+COUNTBLANK(H173:I173)+COUNTBLANK(N173)=0,"Complete","Missing "&amp;(COUNTBLANK(B173:C173)+COUNTBLANK(E173)+COUNTBLANK(H173:I173)+COUNTBLANK(N173))&amp;" required"))</f>
        <v/>
      </c>
      <c r="R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>
        <f>IF(A174="","",IF(COUNTBLANK(B174:C174)+COUNTBLANK(E174)+COUNTBLANK(H174:I174)+COUNTBLANK(N174)=0,"Complete","Missing "&amp;(COUNTBLANK(B174:C174)+COUNTBLANK(E174)+COUNTBLANK(H174:I174)+COUNTBLANK(N174))&amp;" required"))</f>
        <v/>
      </c>
      <c r="R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>
        <f>IF(A175="","",IF(COUNTBLANK(B175:C175)+COUNTBLANK(E175)+COUNTBLANK(H175:I175)+COUNTBLANK(N175)=0,"Complete","Missing "&amp;(COUNTBLANK(B175:C175)+COUNTBLANK(E175)+COUNTBLANK(H175:I175)+COUNTBLANK(N175))&amp;" required"))</f>
        <v/>
      </c>
      <c r="R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>
        <f>IF(A176="","",IF(COUNTBLANK(B176:C176)+COUNTBLANK(E176)+COUNTBLANK(H176:I176)+COUNTBLANK(N176)=0,"Complete","Missing "&amp;(COUNTBLANK(B176:C176)+COUNTBLANK(E176)+COUNTBLANK(H176:I176)+COUNTBLANK(N176))&amp;" required"))</f>
        <v/>
      </c>
      <c r="R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>
        <f>IF(A177="","",IF(COUNTBLANK(B177:C177)+COUNTBLANK(E177)+COUNTBLANK(H177:I177)+COUNTBLANK(N177)=0,"Complete","Missing "&amp;(COUNTBLANK(B177:C177)+COUNTBLANK(E177)+COUNTBLANK(H177:I177)+COUNTBLANK(N177))&amp;" required"))</f>
        <v/>
      </c>
      <c r="R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>
        <f>IF(A178="","",IF(COUNTBLANK(B178:C178)+COUNTBLANK(E178)+COUNTBLANK(H178:I178)+COUNTBLANK(N178)=0,"Complete","Missing "&amp;(COUNTBLANK(B178:C178)+COUNTBLANK(E178)+COUNTBLANK(H178:I178)+COUNTBLANK(N178))&amp;" required"))</f>
        <v/>
      </c>
      <c r="R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>
        <f>IF(A179="","",IF(COUNTBLANK(B179:C179)+COUNTBLANK(E179)+COUNTBLANK(H179:I179)+COUNTBLANK(N179)=0,"Complete","Missing "&amp;(COUNTBLANK(B179:C179)+COUNTBLANK(E179)+COUNTBLANK(H179:I179)+COUNTBLANK(N179))&amp;" required"))</f>
        <v/>
      </c>
      <c r="R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>
        <f>IF(A180="","",IF(COUNTBLANK(B180:C180)+COUNTBLANK(E180)+COUNTBLANK(H180:I180)+COUNTBLANK(N180)=0,"Complete","Missing "&amp;(COUNTBLANK(B180:C180)+COUNTBLANK(E180)+COUNTBLANK(H180:I180)+COUNTBLANK(N180))&amp;" required"))</f>
        <v/>
      </c>
      <c r="R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>
        <f>IF(A181="","",IF(COUNTBLANK(B181:C181)+COUNTBLANK(E181)+COUNTBLANK(H181:I181)+COUNTBLANK(N181)=0,"Complete","Missing "&amp;(COUNTBLANK(B181:C181)+COUNTBLANK(E181)+COUNTBLANK(H181:I181)+COUNTBLANK(N181))&amp;" required"))</f>
        <v/>
      </c>
      <c r="R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>
        <f>IF(A182="","",IF(COUNTBLANK(B182:C182)+COUNTBLANK(E182)+COUNTBLANK(H182:I182)+COUNTBLANK(N182)=0,"Complete","Missing "&amp;(COUNTBLANK(B182:C182)+COUNTBLANK(E182)+COUNTBLANK(H182:I182)+COUNTBLANK(N182))&amp;" required"))</f>
        <v/>
      </c>
      <c r="R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>
        <f>IF(A183="","",IF(COUNTBLANK(B183:C183)+COUNTBLANK(E183)+COUNTBLANK(H183:I183)+COUNTBLANK(N183)=0,"Complete","Missing "&amp;(COUNTBLANK(B183:C183)+COUNTBLANK(E183)+COUNTBLANK(H183:I183)+COUNTBLANK(N183))&amp;" required"))</f>
        <v/>
      </c>
      <c r="R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>
        <f>IF(A184="","",IF(COUNTBLANK(B184:C184)+COUNTBLANK(E184)+COUNTBLANK(H184:I184)+COUNTBLANK(N184)=0,"Complete","Missing "&amp;(COUNTBLANK(B184:C184)+COUNTBLANK(E184)+COUNTBLANK(H184:I184)+COUNTBLANK(N184))&amp;" required"))</f>
        <v/>
      </c>
      <c r="R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>
        <f>IF(A185="","",IF(COUNTBLANK(B185:C185)+COUNTBLANK(E185)+COUNTBLANK(H185:I185)+COUNTBLANK(N185)=0,"Complete","Missing "&amp;(COUNTBLANK(B185:C185)+COUNTBLANK(E185)+COUNTBLANK(H185:I185)+COUNTBLANK(N185))&amp;" required"))</f>
        <v/>
      </c>
      <c r="R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>
        <f>IF(A186="","",IF(COUNTBLANK(B186:C186)+COUNTBLANK(E186)+COUNTBLANK(H186:I186)+COUNTBLANK(N186)=0,"Complete","Missing "&amp;(COUNTBLANK(B186:C186)+COUNTBLANK(E186)+COUNTBLANK(H186:I186)+COUNTBLANK(N186))&amp;" required"))</f>
        <v/>
      </c>
      <c r="R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>
        <f>IF(A187="","",IF(COUNTBLANK(B187:C187)+COUNTBLANK(E187)+COUNTBLANK(H187:I187)+COUNTBLANK(N187)=0,"Complete","Missing "&amp;(COUNTBLANK(B187:C187)+COUNTBLANK(E187)+COUNTBLANK(H187:I187)+COUNTBLANK(N187))&amp;" required"))</f>
        <v/>
      </c>
      <c r="R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>
        <f>IF(A188="","",IF(COUNTBLANK(B188:C188)+COUNTBLANK(E188)+COUNTBLANK(H188:I188)+COUNTBLANK(N188)=0,"Complete","Missing "&amp;(COUNTBLANK(B188:C188)+COUNTBLANK(E188)+COUNTBLANK(H188:I188)+COUNTBLANK(N188))&amp;" required"))</f>
        <v/>
      </c>
      <c r="R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>
        <f>IF(A189="","",IF(COUNTBLANK(B189:C189)+COUNTBLANK(E189)+COUNTBLANK(H189:I189)+COUNTBLANK(N189)=0,"Complete","Missing "&amp;(COUNTBLANK(B189:C189)+COUNTBLANK(E189)+COUNTBLANK(H189:I189)+COUNTBLANK(N189))&amp;" required"))</f>
        <v/>
      </c>
      <c r="R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>
        <f>IF(A190="","",IF(COUNTBLANK(B190:C190)+COUNTBLANK(E190)+COUNTBLANK(H190:I190)+COUNTBLANK(N190)=0,"Complete","Missing "&amp;(COUNTBLANK(B190:C190)+COUNTBLANK(E190)+COUNTBLANK(H190:I190)+COUNTBLANK(N190))&amp;" required"))</f>
        <v/>
      </c>
      <c r="R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>
        <f>IF(A191="","",IF(COUNTBLANK(B191:C191)+COUNTBLANK(E191)+COUNTBLANK(H191:I191)+COUNTBLANK(N191)=0,"Complete","Missing "&amp;(COUNTBLANK(B191:C191)+COUNTBLANK(E191)+COUNTBLANK(H191:I191)+COUNTBLANK(N191))&amp;" required"))</f>
        <v/>
      </c>
      <c r="R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>
        <f>IF(A192="","",IF(COUNTBLANK(B192:C192)+COUNTBLANK(E192)+COUNTBLANK(H192:I192)+COUNTBLANK(N192)=0,"Complete","Missing "&amp;(COUNTBLANK(B192:C192)+COUNTBLANK(E192)+COUNTBLANK(H192:I192)+COUNTBLANK(N192))&amp;" required"))</f>
        <v/>
      </c>
      <c r="R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>
        <f>IF(A193="","",IF(COUNTBLANK(B193:C193)+COUNTBLANK(E193)+COUNTBLANK(H193:I193)+COUNTBLANK(N193)=0,"Complete","Missing "&amp;(COUNTBLANK(B193:C193)+COUNTBLANK(E193)+COUNTBLANK(H193:I193)+COUNTBLANK(N193))&amp;" required"))</f>
        <v/>
      </c>
      <c r="R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>
        <f>IF(A194="","",IF(COUNTBLANK(B194:C194)+COUNTBLANK(E194)+COUNTBLANK(H194:I194)+COUNTBLANK(N194)=0,"Complete","Missing "&amp;(COUNTBLANK(B194:C194)+COUNTBLANK(E194)+COUNTBLANK(H194:I194)+COUNTBLANK(N194))&amp;" required"))</f>
        <v/>
      </c>
      <c r="R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>
        <f>IF(A195="","",IF(COUNTBLANK(B195:C195)+COUNTBLANK(E195)+COUNTBLANK(H195:I195)+COUNTBLANK(N195)=0,"Complete","Missing "&amp;(COUNTBLANK(B195:C195)+COUNTBLANK(E195)+COUNTBLANK(H195:I195)+COUNTBLANK(N195))&amp;" required"))</f>
        <v/>
      </c>
      <c r="R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>
        <f>IF(A196="","",IF(COUNTBLANK(B196:C196)+COUNTBLANK(E196)+COUNTBLANK(H196:I196)+COUNTBLANK(N196)=0,"Complete","Missing "&amp;(COUNTBLANK(B196:C196)+COUNTBLANK(E196)+COUNTBLANK(H196:I196)+COUNTBLANK(N196))&amp;" required"))</f>
        <v/>
      </c>
      <c r="R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>
        <f>IF(A197="","",IF(COUNTBLANK(B197:C197)+COUNTBLANK(E197)+COUNTBLANK(H197:I197)+COUNTBLANK(N197)=0,"Complete","Missing "&amp;(COUNTBLANK(B197:C197)+COUNTBLANK(E197)+COUNTBLANK(H197:I197)+COUNTBLANK(N197))&amp;" required"))</f>
        <v/>
      </c>
      <c r="R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>
        <f>IF(A198="","",IF(COUNTBLANK(B198:C198)+COUNTBLANK(E198)+COUNTBLANK(H198:I198)+COUNTBLANK(N198)=0,"Complete","Missing "&amp;(COUNTBLANK(B198:C198)+COUNTBLANK(E198)+COUNTBLANK(H198:I198)+COUNTBLANK(N198))&amp;" required"))</f>
        <v/>
      </c>
      <c r="R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>
        <f>IF(A199="","",IF(COUNTBLANK(B199:C199)+COUNTBLANK(E199)+COUNTBLANK(H199:I199)+COUNTBLANK(N199)=0,"Complete","Missing "&amp;(COUNTBLANK(B199:C199)+COUNTBLANK(E199)+COUNTBLANK(H199:I199)+COUNTBLANK(N199))&amp;" required"))</f>
        <v/>
      </c>
      <c r="R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>
        <f>IF(A200="","",IF(COUNTBLANK(B200:C200)+COUNTBLANK(E200)+COUNTBLANK(H200:I200)+COUNTBLANK(N200)=0,"Complete","Missing "&amp;(COUNTBLANK(B200:C200)+COUNTBLANK(E200)+COUNTBLANK(H200:I200)+COUNTBLANK(N200))&amp;" required"))</f>
        <v/>
      </c>
      <c r="R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>
        <f>IF(A201="","",IF(COUNTBLANK(B201:C201)+COUNTBLANK(E201)+COUNTBLANK(H201:I201)+COUNTBLANK(N201)=0,"Complete","Missing "&amp;(COUNTBLANK(B201:C201)+COUNTBLANK(E201)+COUNTBLANK(H201:I201)+COUNTBLANK(N201))&amp;" required"))</f>
        <v/>
      </c>
      <c r="R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>
        <f>IF(A202="","",IF(COUNTBLANK(B202:C202)+COUNTBLANK(E202)+COUNTBLANK(H202:I202)+COUNTBLANK(N202)=0,"Complete","Missing "&amp;(COUNTBLANK(B202:C202)+COUNTBLANK(E202)+COUNTBLANK(H202:I202)+COUNTBLANK(N202))&amp;" required"))</f>
        <v/>
      </c>
      <c r="R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>
        <f>IF(A203="","",IF(COUNTBLANK(B203:C203)+COUNTBLANK(E203)+COUNTBLANK(H203:I203)+COUNTBLANK(N203)=0,"Complete","Missing "&amp;(COUNTBLANK(B203:C203)+COUNTBLANK(E203)+COUNTBLANK(H203:I203)+COUNTBLANK(N203))&amp;" required"))</f>
        <v/>
      </c>
      <c r="R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>
        <f>IF(A204="","",IF(COUNTBLANK(B204:C204)+COUNTBLANK(E204)+COUNTBLANK(H204:I204)+COUNTBLANK(N204)=0,"Complete","Missing "&amp;(COUNTBLANK(B204:C204)+COUNTBLANK(E204)+COUNTBLANK(H204:I204)+COUNTBLANK(N204))&amp;" required"))</f>
        <v/>
      </c>
      <c r="R204" s="10" t="n"/>
    </row>
  </sheetData>
  <conditionalFormatting sqref="Q5:Q204">
    <cfRule type="expression" priority="1" dxfId="0">
      <formula>Q5="Complete"</formula>
    </cfRule>
    <cfRule type="expression" priority="2" dxfId="1">
      <formula>LEFT(Q5,7)="Missing"</formula>
    </cfRule>
  </conditionalFormatting>
  <dataValidations count="5">
    <dataValidation sqref="B5:B204" showDropDown="0" showInputMessage="0" showErrorMessage="0" allowBlank="1" errorTitle="Not in the list" error="That value is not in the list. Keep it only if you need it." type="list" errorStyle="warning">
      <formula1>='2 Tables'!$A$5:$A$204</formula1>
    </dataValidation>
    <dataValidation sqref="E5:E204" showDropDown="0" showInputMessage="0" showErrorMessage="0" allowBlank="1" errorTitle="Not in the list" error="That value is not in the list. Keep it only if you need it." type="list" errorStyle="warning">
      <formula1>='5 KPIs'!$A$5:$A$204</formula1>
    </dataValidation>
    <dataValidation sqref="H5:H204" showDropDown="0" showInputMessage="0" showErrorMessage="0" allowBlank="1" errorTitle="Not in the list" error="That value is not in the list. Keep it only if you need it." type="list" errorStyle="warning">
      <formula1>=Lists!$M$2:$M$3</formula1>
    </dataValidation>
    <dataValidation sqref="I5:I204" showDropDown="0" showInputMessage="0" showErrorMessage="0" allowBlank="1" errorTitle="Not in the list" error="That value is not in the list. Keep it only if you need it." type="list" errorStyle="warning">
      <formula1>=Lists!$L$2:$L$5</formula1>
    </dataValidation>
    <dataValidation sqref="N5:N204" showDropDown="0" showInputMessage="0" showErrorMessage="0" allowBlank="1" errorTitle="Not in the list" error="That value is not in the list. Keep it only if you need it." type="list" errorStyle="warning">
      <formula1>=Lists!$G$2:$G$4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52A52"/>
    <outlinePr summaryBelow="1" summaryRight="1"/>
    <pageSetUpPr/>
  </sheetPr>
  <dimension ref="A1:U2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40" customWidth="1" min="3" max="3"/>
    <col width="14" customWidth="1" min="4" max="4"/>
    <col width="30" customWidth="1" min="5" max="5"/>
    <col width="18" customWidth="1" min="6" max="6"/>
    <col width="18" customWidth="1" min="7" max="7"/>
    <col width="18" customWidth="1" min="8" max="8"/>
    <col width="26" customWidth="1" min="9" max="9"/>
    <col width="16" customWidth="1" min="10" max="10"/>
    <col width="40" customWidth="1" min="11" max="11"/>
    <col width="24" customWidth="1" min="12" max="12"/>
    <col width="14" customWidth="1" min="13" max="13"/>
    <col width="16" customWidth="1" min="14" max="14"/>
    <col width="16" customWidth="1" min="15" max="15"/>
    <col width="16" customWidth="1" min="16" max="16"/>
    <col width="14" customWidth="1" min="17" max="17"/>
    <col width="14" customWidth="1" min="18" max="18"/>
    <col width="16" customWidth="1" min="19" max="19"/>
    <col width="20" customWidth="1" min="20" max="20"/>
    <col width="36" customWidth="1" min="21" max="21"/>
  </cols>
  <sheetData>
    <row r="1">
      <c r="A1" s="5" t="inlineStr">
        <is>
          <t>5 KPIs: owners, tracking status and readiness</t>
        </is>
      </c>
    </row>
    <row r="2">
      <c r="A2" s="6" t="inlineStr">
        <is>
          <t>One row per KPI from the signed charter. Each owner signs their own part. If a KPI cannot be tracked today, say when it might be and what is being done, and a sponsor accepts that it is unknown for now.</t>
        </is>
      </c>
    </row>
    <row r="3" ht="36" customHeight="1">
      <c r="A3" s="7" t="inlineStr">
        <is>
          <t>K01, K02 ...</t>
        </is>
      </c>
      <c r="B3" s="7" t="inlineStr">
        <is>
          <t>From the charter</t>
        </is>
      </c>
      <c r="C3" s="7" t="inlineStr">
        <is>
          <t>What it means, in your words</t>
        </is>
      </c>
      <c r="D3" s="7" t="inlineStr">
        <is>
          <t>From the charter</t>
        </is>
      </c>
      <c r="E3" s="7" t="inlineStr">
        <is>
          <t>From the charter</t>
        </is>
      </c>
      <c r="F3" s="7" t="inlineStr">
        <is>
          <t>A named person</t>
        </is>
      </c>
      <c r="G3" s="7" t="inlineStr">
        <is>
          <t>A named person</t>
        </is>
      </c>
      <c r="H3" s="7" t="inlineStr">
        <is>
          <t>A named person</t>
        </is>
      </c>
      <c r="I3" s="7" t="inlineStr">
        <is>
          <t>Pick one</t>
        </is>
      </c>
      <c r="J3" s="7" t="inlineStr">
        <is>
          <t>When it could be tracked</t>
        </is>
      </c>
      <c r="K3" s="7" t="inlineStr">
        <is>
          <t>Systems to onboard, programs running, who</t>
        </is>
      </c>
      <c r="L3" s="7" t="inlineStr">
        <is>
          <t>A sponsor, if not tracked today</t>
        </is>
      </c>
      <c r="M3" s="7" t="inlineStr">
        <is>
          <t>Date</t>
        </is>
      </c>
      <c r="N3" s="7" t="inlineStr">
        <is>
          <t>Date</t>
        </is>
      </c>
      <c r="O3" s="7" t="inlineStr">
        <is>
          <t>Date</t>
        </is>
      </c>
      <c r="P3" s="7" t="inlineStr">
        <is>
          <t>Date</t>
        </is>
      </c>
      <c r="Q3" s="7" t="inlineStr">
        <is>
          <t>Counted for you from tab 2</t>
        </is>
      </c>
      <c r="R3" s="7" t="inlineStr">
        <is>
          <t>Counted for you from tab 3</t>
        </is>
      </c>
      <c r="S3" s="7" t="inlineStr">
        <is>
          <t>Counted for you from tab 4</t>
        </is>
      </c>
      <c r="T3" s="7" t="inlineStr">
        <is>
          <t>Filled in for you</t>
        </is>
      </c>
      <c r="U3" s="7" t="inlineStr">
        <is>
          <t>Anything else</t>
        </is>
      </c>
    </row>
    <row r="4" ht="44" customHeight="1">
      <c r="A4" s="8" t="inlineStr">
        <is>
          <t>KPI ID</t>
        </is>
      </c>
      <c r="B4" s="8" t="inlineStr">
        <is>
          <t>KPI name</t>
        </is>
      </c>
      <c r="C4" s="8" t="inlineStr">
        <is>
          <t>Definition</t>
        </is>
      </c>
      <c r="D4" s="8" t="inlineStr">
        <is>
          <t>Priority</t>
        </is>
      </c>
      <c r="E4" s="8" t="inlineStr">
        <is>
          <t>Problem it serves</t>
        </is>
      </c>
      <c r="F4" s="8" t="inlineStr">
        <is>
          <t>Business owner</t>
        </is>
      </c>
      <c r="G4" s="8" t="inlineStr">
        <is>
          <t>Data owner</t>
        </is>
      </c>
      <c r="H4" s="8" t="inlineStr">
        <is>
          <t>Process owner</t>
        </is>
      </c>
      <c r="I4" s="8" t="inlineStr">
        <is>
          <t>Tracking status</t>
        </is>
      </c>
      <c r="J4" s="8" t="inlineStr">
        <is>
          <t>Tentative date</t>
        </is>
      </c>
      <c r="K4" s="8" t="inlineStr">
        <is>
          <t>Next steps or project</t>
        </is>
      </c>
      <c r="L4" s="8" t="inlineStr">
        <is>
          <t>Unknown accepted by (sponsor)</t>
        </is>
      </c>
      <c r="M4" s="8" t="inlineStr">
        <is>
          <t>Date accepted</t>
        </is>
      </c>
      <c r="N4" s="8" t="inlineStr">
        <is>
          <t>Business owner signed</t>
        </is>
      </c>
      <c r="O4" s="8" t="inlineStr">
        <is>
          <t>Data owner signed</t>
        </is>
      </c>
      <c r="P4" s="8" t="inlineStr">
        <is>
          <t>Process owner signed</t>
        </is>
      </c>
      <c r="Q4" s="8" t="inlineStr">
        <is>
          <t>Tables mapped</t>
        </is>
      </c>
      <c r="R4" s="8" t="inlineStr">
        <is>
          <t>Fields mapped</t>
        </is>
      </c>
      <c r="S4" s="8" t="inlineStr">
        <is>
          <t>Extractions mapped</t>
        </is>
      </c>
      <c r="T4" s="8" t="inlineStr">
        <is>
          <t>Ready for module 3?</t>
        </is>
      </c>
      <c r="U4" s="8" t="inlineStr">
        <is>
          <t>Notes</t>
        </is>
      </c>
    </row>
    <row r="5">
      <c r="A5" s="9" t="inlineStr">
        <is>
          <t>K01</t>
        </is>
      </c>
      <c r="B5" s="9" t="inlineStr">
        <is>
          <t>Capital calls due, by date</t>
        </is>
      </c>
      <c r="C5" s="9" t="inlineStr">
        <is>
          <t>Cash the office must provide, by due date</t>
        </is>
      </c>
      <c r="D5" s="9" t="inlineStr">
        <is>
          <t>Must</t>
        </is>
      </c>
      <c r="E5" s="9" t="inlineStr">
        <is>
          <t>Calls arrive too late</t>
        </is>
      </c>
      <c r="F5" s="9" t="inlineStr">
        <is>
          <t>Mei</t>
        </is>
      </c>
      <c r="G5" s="9" t="inlineStr">
        <is>
          <t>Sara</t>
        </is>
      </c>
      <c r="H5" s="9" t="inlineStr">
        <is>
          <t>Sara</t>
        </is>
      </c>
      <c r="I5" s="9" t="inlineStr">
        <is>
          <t>Will be tracked in future</t>
        </is>
      </c>
      <c r="J5" s="9" t="n"/>
      <c r="K5" s="9" t="inlineStr">
        <is>
          <t>Set up intake of notices; Sara</t>
        </is>
      </c>
      <c r="L5" s="9" t="inlineStr">
        <is>
          <t>Tom</t>
        </is>
      </c>
      <c r="M5" s="9" t="n"/>
      <c r="N5" s="9" t="n"/>
      <c r="O5" s="9" t="n"/>
      <c r="P5" s="9" t="n"/>
      <c r="Q5" s="10">
        <f>IF(A5="","",COUNTIF('2 Tables'!$E$5:$E$204,"*"&amp;A5&amp;"*"))</f>
        <v/>
      </c>
      <c r="R5" s="10">
        <f>IF(A5="","",COUNTIF('3 Fields'!$H$5:$H$204,A5))</f>
        <v/>
      </c>
      <c r="S5" s="10">
        <f>IF(A5="","",COUNTIF('4 Extractions'!$E$5:$E$204,A5))</f>
        <v/>
      </c>
      <c r="T5" s="10">
        <f>IF(A5="","",IF(AND(F5&lt;&gt;"",G5&lt;&gt;"",H5&lt;&gt;"",I5&lt;&gt;"",N5&lt;&gt;"",O5&lt;&gt;"",P5&lt;&gt;"",OR(I5="Tracked today",I5="Can be tracked now",AND(K5&lt;&gt;"",L5&lt;&gt;""))),"Ready","Not ready"))</f>
        <v/>
      </c>
      <c r="U5" s="9" t="inlineStr">
        <is>
          <t>EXAMPLE ROW: delete before use</t>
        </is>
      </c>
    </row>
    <row r="6">
      <c r="A6" s="9" t="inlineStr">
        <is>
          <t>K02</t>
        </is>
      </c>
      <c r="B6" s="9" t="inlineStr">
        <is>
          <t>Funding capacity</t>
        </is>
      </c>
      <c r="C6" s="9" t="inlineStr">
        <is>
          <t>Cash and committed lines available over six months</t>
        </is>
      </c>
      <c r="D6" s="9" t="inlineStr">
        <is>
          <t>Must</t>
        </is>
      </c>
      <c r="E6" s="9" t="inlineStr">
        <is>
          <t>Calls arrive too late</t>
        </is>
      </c>
      <c r="F6" s="9" t="inlineStr">
        <is>
          <t>Tom</t>
        </is>
      </c>
      <c r="G6" s="9" t="inlineStr">
        <is>
          <t>Arjun</t>
        </is>
      </c>
      <c r="H6" s="9" t="inlineStr">
        <is>
          <t>Sara</t>
        </is>
      </c>
      <c r="I6" s="9" t="inlineStr">
        <is>
          <t>Can be tracked now</t>
        </is>
      </c>
      <c r="J6" s="9" t="n"/>
      <c r="K6" s="9" t="n"/>
      <c r="L6" s="9" t="n"/>
      <c r="M6" s="9" t="n"/>
      <c r="N6" s="9" t="n"/>
      <c r="O6" s="9" t="n"/>
      <c r="P6" s="9" t="n"/>
      <c r="Q6" s="10">
        <f>IF(A6="","",COUNTIF('2 Tables'!$E$5:$E$204,"*"&amp;A6&amp;"*"))</f>
        <v/>
      </c>
      <c r="R6" s="10">
        <f>IF(A6="","",COUNTIF('3 Fields'!$H$5:$H$204,A6))</f>
        <v/>
      </c>
      <c r="S6" s="10">
        <f>IF(A6="","",COUNTIF('4 Extractions'!$E$5:$E$204,A6))</f>
        <v/>
      </c>
      <c r="T6" s="10">
        <f>IF(A6="","",IF(AND(F6&lt;&gt;"",G6&lt;&gt;"",H6&lt;&gt;"",I6&lt;&gt;"",N6&lt;&gt;"",O6&lt;&gt;"",P6&lt;&gt;"",OR(I6="Tracked today",I6="Can be tracked now",AND(K6&lt;&gt;"",L6&lt;&gt;""))),"Ready","Not ready"))</f>
        <v/>
      </c>
      <c r="U6" s="9" t="inlineStr">
        <is>
          <t>EXAMPLE ROW: delete before use</t>
        </is>
      </c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>
        <f>IF(A7="","",COUNTIF('2 Tables'!$E$5:$E$204,"*"&amp;A7&amp;"*"))</f>
        <v/>
      </c>
      <c r="R7" s="10">
        <f>IF(A7="","",COUNTIF('3 Fields'!$H$5:$H$204,A7))</f>
        <v/>
      </c>
      <c r="S7" s="10">
        <f>IF(A7="","",COUNTIF('4 Extractions'!$E$5:$E$204,A7))</f>
        <v/>
      </c>
      <c r="T7" s="10">
        <f>IF(A7="","",IF(AND(F7&lt;&gt;"",G7&lt;&gt;"",H7&lt;&gt;"",I7&lt;&gt;"",N7&lt;&gt;"",O7&lt;&gt;"",P7&lt;&gt;"",OR(I7="Tracked today",I7="Can be tracked now",AND(K7&lt;&gt;"",L7&lt;&gt;""))),"Ready","Not ready"))</f>
        <v/>
      </c>
      <c r="U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>
        <f>IF(A8="","",COUNTIF('2 Tables'!$E$5:$E$204,"*"&amp;A8&amp;"*"))</f>
        <v/>
      </c>
      <c r="R8" s="10">
        <f>IF(A8="","",COUNTIF('3 Fields'!$H$5:$H$204,A8))</f>
        <v/>
      </c>
      <c r="S8" s="10">
        <f>IF(A8="","",COUNTIF('4 Extractions'!$E$5:$E$204,A8))</f>
        <v/>
      </c>
      <c r="T8" s="10">
        <f>IF(A8="","",IF(AND(F8&lt;&gt;"",G8&lt;&gt;"",H8&lt;&gt;"",I8&lt;&gt;"",N8&lt;&gt;"",O8&lt;&gt;"",P8&lt;&gt;"",OR(I8="Tracked today",I8="Can be tracked now",AND(K8&lt;&gt;"",L8&lt;&gt;""))),"Ready","Not ready"))</f>
        <v/>
      </c>
      <c r="U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>
        <f>IF(A9="","",COUNTIF('2 Tables'!$E$5:$E$204,"*"&amp;A9&amp;"*"))</f>
        <v/>
      </c>
      <c r="R9" s="10">
        <f>IF(A9="","",COUNTIF('3 Fields'!$H$5:$H$204,A9))</f>
        <v/>
      </c>
      <c r="S9" s="10">
        <f>IF(A9="","",COUNTIF('4 Extractions'!$E$5:$E$204,A9))</f>
        <v/>
      </c>
      <c r="T9" s="10">
        <f>IF(A9="","",IF(AND(F9&lt;&gt;"",G9&lt;&gt;"",H9&lt;&gt;"",I9&lt;&gt;"",N9&lt;&gt;"",O9&lt;&gt;"",P9&lt;&gt;"",OR(I9="Tracked today",I9="Can be tracked now",AND(K9&lt;&gt;"",L9&lt;&gt;""))),"Ready","Not ready"))</f>
        <v/>
      </c>
      <c r="U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>
        <f>IF(A10="","",COUNTIF('2 Tables'!$E$5:$E$204,"*"&amp;A10&amp;"*"))</f>
        <v/>
      </c>
      <c r="R10" s="10">
        <f>IF(A10="","",COUNTIF('3 Fields'!$H$5:$H$204,A10))</f>
        <v/>
      </c>
      <c r="S10" s="10">
        <f>IF(A10="","",COUNTIF('4 Extractions'!$E$5:$E$204,A10))</f>
        <v/>
      </c>
      <c r="T10" s="10">
        <f>IF(A10="","",IF(AND(F10&lt;&gt;"",G10&lt;&gt;"",H10&lt;&gt;"",I10&lt;&gt;"",N10&lt;&gt;"",O10&lt;&gt;"",P10&lt;&gt;"",OR(I10="Tracked today",I10="Can be tracked now",AND(K10&lt;&gt;"",L10&lt;&gt;""))),"Ready","Not ready"))</f>
        <v/>
      </c>
      <c r="U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>
        <f>IF(A11="","",COUNTIF('2 Tables'!$E$5:$E$204,"*"&amp;A11&amp;"*"))</f>
        <v/>
      </c>
      <c r="R11" s="10">
        <f>IF(A11="","",COUNTIF('3 Fields'!$H$5:$H$204,A11))</f>
        <v/>
      </c>
      <c r="S11" s="10">
        <f>IF(A11="","",COUNTIF('4 Extractions'!$E$5:$E$204,A11))</f>
        <v/>
      </c>
      <c r="T11" s="10">
        <f>IF(A11="","",IF(AND(F11&lt;&gt;"",G11&lt;&gt;"",H11&lt;&gt;"",I11&lt;&gt;"",N11&lt;&gt;"",O11&lt;&gt;"",P11&lt;&gt;"",OR(I11="Tracked today",I11="Can be tracked now",AND(K11&lt;&gt;"",L11&lt;&gt;""))),"Ready","Not ready"))</f>
        <v/>
      </c>
      <c r="U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>
        <f>IF(A12="","",COUNTIF('2 Tables'!$E$5:$E$204,"*"&amp;A12&amp;"*"))</f>
        <v/>
      </c>
      <c r="R12" s="10">
        <f>IF(A12="","",COUNTIF('3 Fields'!$H$5:$H$204,A12))</f>
        <v/>
      </c>
      <c r="S12" s="10">
        <f>IF(A12="","",COUNTIF('4 Extractions'!$E$5:$E$204,A12))</f>
        <v/>
      </c>
      <c r="T12" s="10">
        <f>IF(A12="","",IF(AND(F12&lt;&gt;"",G12&lt;&gt;"",H12&lt;&gt;"",I12&lt;&gt;"",N12&lt;&gt;"",O12&lt;&gt;"",P12&lt;&gt;"",OR(I12="Tracked today",I12="Can be tracked now",AND(K12&lt;&gt;"",L12&lt;&gt;""))),"Ready","Not ready"))</f>
        <v/>
      </c>
      <c r="U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>
        <f>IF(A13="","",COUNTIF('2 Tables'!$E$5:$E$204,"*"&amp;A13&amp;"*"))</f>
        <v/>
      </c>
      <c r="R13" s="10">
        <f>IF(A13="","",COUNTIF('3 Fields'!$H$5:$H$204,A13))</f>
        <v/>
      </c>
      <c r="S13" s="10">
        <f>IF(A13="","",COUNTIF('4 Extractions'!$E$5:$E$204,A13))</f>
        <v/>
      </c>
      <c r="T13" s="10">
        <f>IF(A13="","",IF(AND(F13&lt;&gt;"",G13&lt;&gt;"",H13&lt;&gt;"",I13&lt;&gt;"",N13&lt;&gt;"",O13&lt;&gt;"",P13&lt;&gt;"",OR(I13="Tracked today",I13="Can be tracked now",AND(K13&lt;&gt;"",L13&lt;&gt;""))),"Ready","Not ready"))</f>
        <v/>
      </c>
      <c r="U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>
        <f>IF(A14="","",COUNTIF('2 Tables'!$E$5:$E$204,"*"&amp;A14&amp;"*"))</f>
        <v/>
      </c>
      <c r="R14" s="10">
        <f>IF(A14="","",COUNTIF('3 Fields'!$H$5:$H$204,A14))</f>
        <v/>
      </c>
      <c r="S14" s="10">
        <f>IF(A14="","",COUNTIF('4 Extractions'!$E$5:$E$204,A14))</f>
        <v/>
      </c>
      <c r="T14" s="10">
        <f>IF(A14="","",IF(AND(F14&lt;&gt;"",G14&lt;&gt;"",H14&lt;&gt;"",I14&lt;&gt;"",N14&lt;&gt;"",O14&lt;&gt;"",P14&lt;&gt;"",OR(I14="Tracked today",I14="Can be tracked now",AND(K14&lt;&gt;"",L14&lt;&gt;""))),"Ready","Not ready"))</f>
        <v/>
      </c>
      <c r="U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>
        <f>IF(A15="","",COUNTIF('2 Tables'!$E$5:$E$204,"*"&amp;A15&amp;"*"))</f>
        <v/>
      </c>
      <c r="R15" s="10">
        <f>IF(A15="","",COUNTIF('3 Fields'!$H$5:$H$204,A15))</f>
        <v/>
      </c>
      <c r="S15" s="10">
        <f>IF(A15="","",COUNTIF('4 Extractions'!$E$5:$E$204,A15))</f>
        <v/>
      </c>
      <c r="T15" s="10">
        <f>IF(A15="","",IF(AND(F15&lt;&gt;"",G15&lt;&gt;"",H15&lt;&gt;"",I15&lt;&gt;"",N15&lt;&gt;"",O15&lt;&gt;"",P15&lt;&gt;"",OR(I15="Tracked today",I15="Can be tracked now",AND(K15&lt;&gt;"",L15&lt;&gt;""))),"Ready","Not ready"))</f>
        <v/>
      </c>
      <c r="U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>
        <f>IF(A16="","",COUNTIF('2 Tables'!$E$5:$E$204,"*"&amp;A16&amp;"*"))</f>
        <v/>
      </c>
      <c r="R16" s="10">
        <f>IF(A16="","",COUNTIF('3 Fields'!$H$5:$H$204,A16))</f>
        <v/>
      </c>
      <c r="S16" s="10">
        <f>IF(A16="","",COUNTIF('4 Extractions'!$E$5:$E$204,A16))</f>
        <v/>
      </c>
      <c r="T16" s="10">
        <f>IF(A16="","",IF(AND(F16&lt;&gt;"",G16&lt;&gt;"",H16&lt;&gt;"",I16&lt;&gt;"",N16&lt;&gt;"",O16&lt;&gt;"",P16&lt;&gt;"",OR(I16="Tracked today",I16="Can be tracked now",AND(K16&lt;&gt;"",L16&lt;&gt;""))),"Ready","Not ready"))</f>
        <v/>
      </c>
      <c r="U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>
        <f>IF(A17="","",COUNTIF('2 Tables'!$E$5:$E$204,"*"&amp;A17&amp;"*"))</f>
        <v/>
      </c>
      <c r="R17" s="10">
        <f>IF(A17="","",COUNTIF('3 Fields'!$H$5:$H$204,A17))</f>
        <v/>
      </c>
      <c r="S17" s="10">
        <f>IF(A17="","",COUNTIF('4 Extractions'!$E$5:$E$204,A17))</f>
        <v/>
      </c>
      <c r="T17" s="10">
        <f>IF(A17="","",IF(AND(F17&lt;&gt;"",G17&lt;&gt;"",H17&lt;&gt;"",I17&lt;&gt;"",N17&lt;&gt;"",O17&lt;&gt;"",P17&lt;&gt;"",OR(I17="Tracked today",I17="Can be tracked now",AND(K17&lt;&gt;"",L17&lt;&gt;""))),"Ready","Not ready"))</f>
        <v/>
      </c>
      <c r="U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>
        <f>IF(A18="","",COUNTIF('2 Tables'!$E$5:$E$204,"*"&amp;A18&amp;"*"))</f>
        <v/>
      </c>
      <c r="R18" s="10">
        <f>IF(A18="","",COUNTIF('3 Fields'!$H$5:$H$204,A18))</f>
        <v/>
      </c>
      <c r="S18" s="10">
        <f>IF(A18="","",COUNTIF('4 Extractions'!$E$5:$E$204,A18))</f>
        <v/>
      </c>
      <c r="T18" s="10">
        <f>IF(A18="","",IF(AND(F18&lt;&gt;"",G18&lt;&gt;"",H18&lt;&gt;"",I18&lt;&gt;"",N18&lt;&gt;"",O18&lt;&gt;"",P18&lt;&gt;"",OR(I18="Tracked today",I18="Can be tracked now",AND(K18&lt;&gt;"",L18&lt;&gt;""))),"Ready","Not ready"))</f>
        <v/>
      </c>
      <c r="U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>
        <f>IF(A19="","",COUNTIF('2 Tables'!$E$5:$E$204,"*"&amp;A19&amp;"*"))</f>
        <v/>
      </c>
      <c r="R19" s="10">
        <f>IF(A19="","",COUNTIF('3 Fields'!$H$5:$H$204,A19))</f>
        <v/>
      </c>
      <c r="S19" s="10">
        <f>IF(A19="","",COUNTIF('4 Extractions'!$E$5:$E$204,A19))</f>
        <v/>
      </c>
      <c r="T19" s="10">
        <f>IF(A19="","",IF(AND(F19&lt;&gt;"",G19&lt;&gt;"",H19&lt;&gt;"",I19&lt;&gt;"",N19&lt;&gt;"",O19&lt;&gt;"",P19&lt;&gt;"",OR(I19="Tracked today",I19="Can be tracked now",AND(K19&lt;&gt;"",L19&lt;&gt;""))),"Ready","Not ready"))</f>
        <v/>
      </c>
      <c r="U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>
        <f>IF(A20="","",COUNTIF('2 Tables'!$E$5:$E$204,"*"&amp;A20&amp;"*"))</f>
        <v/>
      </c>
      <c r="R20" s="10">
        <f>IF(A20="","",COUNTIF('3 Fields'!$H$5:$H$204,A20))</f>
        <v/>
      </c>
      <c r="S20" s="10">
        <f>IF(A20="","",COUNTIF('4 Extractions'!$E$5:$E$204,A20))</f>
        <v/>
      </c>
      <c r="T20" s="10">
        <f>IF(A20="","",IF(AND(F20&lt;&gt;"",G20&lt;&gt;"",H20&lt;&gt;"",I20&lt;&gt;"",N20&lt;&gt;"",O20&lt;&gt;"",P20&lt;&gt;"",OR(I20="Tracked today",I20="Can be tracked now",AND(K20&lt;&gt;"",L20&lt;&gt;""))),"Ready","Not ready"))</f>
        <v/>
      </c>
      <c r="U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>
        <f>IF(A21="","",COUNTIF('2 Tables'!$E$5:$E$204,"*"&amp;A21&amp;"*"))</f>
        <v/>
      </c>
      <c r="R21" s="10">
        <f>IF(A21="","",COUNTIF('3 Fields'!$H$5:$H$204,A21))</f>
        <v/>
      </c>
      <c r="S21" s="10">
        <f>IF(A21="","",COUNTIF('4 Extractions'!$E$5:$E$204,A21))</f>
        <v/>
      </c>
      <c r="T21" s="10">
        <f>IF(A21="","",IF(AND(F21&lt;&gt;"",G21&lt;&gt;"",H21&lt;&gt;"",I21&lt;&gt;"",N21&lt;&gt;"",O21&lt;&gt;"",P21&lt;&gt;"",OR(I21="Tracked today",I21="Can be tracked now",AND(K21&lt;&gt;"",L21&lt;&gt;""))),"Ready","Not ready"))</f>
        <v/>
      </c>
      <c r="U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>
        <f>IF(A22="","",COUNTIF('2 Tables'!$E$5:$E$204,"*"&amp;A22&amp;"*"))</f>
        <v/>
      </c>
      <c r="R22" s="10">
        <f>IF(A22="","",COUNTIF('3 Fields'!$H$5:$H$204,A22))</f>
        <v/>
      </c>
      <c r="S22" s="10">
        <f>IF(A22="","",COUNTIF('4 Extractions'!$E$5:$E$204,A22))</f>
        <v/>
      </c>
      <c r="T22" s="10">
        <f>IF(A22="","",IF(AND(F22&lt;&gt;"",G22&lt;&gt;"",H22&lt;&gt;"",I22&lt;&gt;"",N22&lt;&gt;"",O22&lt;&gt;"",P22&lt;&gt;"",OR(I22="Tracked today",I22="Can be tracked now",AND(K22&lt;&gt;"",L22&lt;&gt;""))),"Ready","Not ready"))</f>
        <v/>
      </c>
      <c r="U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>
        <f>IF(A23="","",COUNTIF('2 Tables'!$E$5:$E$204,"*"&amp;A23&amp;"*"))</f>
        <v/>
      </c>
      <c r="R23" s="10">
        <f>IF(A23="","",COUNTIF('3 Fields'!$H$5:$H$204,A23))</f>
        <v/>
      </c>
      <c r="S23" s="10">
        <f>IF(A23="","",COUNTIF('4 Extractions'!$E$5:$E$204,A23))</f>
        <v/>
      </c>
      <c r="T23" s="10">
        <f>IF(A23="","",IF(AND(F23&lt;&gt;"",G23&lt;&gt;"",H23&lt;&gt;"",I23&lt;&gt;"",N23&lt;&gt;"",O23&lt;&gt;"",P23&lt;&gt;"",OR(I23="Tracked today",I23="Can be tracked now",AND(K23&lt;&gt;"",L23&lt;&gt;""))),"Ready","Not ready"))</f>
        <v/>
      </c>
      <c r="U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>
        <f>IF(A24="","",COUNTIF('2 Tables'!$E$5:$E$204,"*"&amp;A24&amp;"*"))</f>
        <v/>
      </c>
      <c r="R24" s="10">
        <f>IF(A24="","",COUNTIF('3 Fields'!$H$5:$H$204,A24))</f>
        <v/>
      </c>
      <c r="S24" s="10">
        <f>IF(A24="","",COUNTIF('4 Extractions'!$E$5:$E$204,A24))</f>
        <v/>
      </c>
      <c r="T24" s="10">
        <f>IF(A24="","",IF(AND(F24&lt;&gt;"",G24&lt;&gt;"",H24&lt;&gt;"",I24&lt;&gt;"",N24&lt;&gt;"",O24&lt;&gt;"",P24&lt;&gt;"",OR(I24="Tracked today",I24="Can be tracked now",AND(K24&lt;&gt;"",L24&lt;&gt;""))),"Ready","Not ready"))</f>
        <v/>
      </c>
      <c r="U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>
        <f>IF(A25="","",COUNTIF('2 Tables'!$E$5:$E$204,"*"&amp;A25&amp;"*"))</f>
        <v/>
      </c>
      <c r="R25" s="10">
        <f>IF(A25="","",COUNTIF('3 Fields'!$H$5:$H$204,A25))</f>
        <v/>
      </c>
      <c r="S25" s="10">
        <f>IF(A25="","",COUNTIF('4 Extractions'!$E$5:$E$204,A25))</f>
        <v/>
      </c>
      <c r="T25" s="10">
        <f>IF(A25="","",IF(AND(F25&lt;&gt;"",G25&lt;&gt;"",H25&lt;&gt;"",I25&lt;&gt;"",N25&lt;&gt;"",O25&lt;&gt;"",P25&lt;&gt;"",OR(I25="Tracked today",I25="Can be tracked now",AND(K25&lt;&gt;"",L25&lt;&gt;""))),"Ready","Not ready"))</f>
        <v/>
      </c>
      <c r="U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>
        <f>IF(A26="","",COUNTIF('2 Tables'!$E$5:$E$204,"*"&amp;A26&amp;"*"))</f>
        <v/>
      </c>
      <c r="R26" s="10">
        <f>IF(A26="","",COUNTIF('3 Fields'!$H$5:$H$204,A26))</f>
        <v/>
      </c>
      <c r="S26" s="10">
        <f>IF(A26="","",COUNTIF('4 Extractions'!$E$5:$E$204,A26))</f>
        <v/>
      </c>
      <c r="T26" s="10">
        <f>IF(A26="","",IF(AND(F26&lt;&gt;"",G26&lt;&gt;"",H26&lt;&gt;"",I26&lt;&gt;"",N26&lt;&gt;"",O26&lt;&gt;"",P26&lt;&gt;"",OR(I26="Tracked today",I26="Can be tracked now",AND(K26&lt;&gt;"",L26&lt;&gt;""))),"Ready","Not ready"))</f>
        <v/>
      </c>
      <c r="U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>
        <f>IF(A27="","",COUNTIF('2 Tables'!$E$5:$E$204,"*"&amp;A27&amp;"*"))</f>
        <v/>
      </c>
      <c r="R27" s="10">
        <f>IF(A27="","",COUNTIF('3 Fields'!$H$5:$H$204,A27))</f>
        <v/>
      </c>
      <c r="S27" s="10">
        <f>IF(A27="","",COUNTIF('4 Extractions'!$E$5:$E$204,A27))</f>
        <v/>
      </c>
      <c r="T27" s="10">
        <f>IF(A27="","",IF(AND(F27&lt;&gt;"",G27&lt;&gt;"",H27&lt;&gt;"",I27&lt;&gt;"",N27&lt;&gt;"",O27&lt;&gt;"",P27&lt;&gt;"",OR(I27="Tracked today",I27="Can be tracked now",AND(K27&lt;&gt;"",L27&lt;&gt;""))),"Ready","Not ready"))</f>
        <v/>
      </c>
      <c r="U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>
        <f>IF(A28="","",COUNTIF('2 Tables'!$E$5:$E$204,"*"&amp;A28&amp;"*"))</f>
        <v/>
      </c>
      <c r="R28" s="10">
        <f>IF(A28="","",COUNTIF('3 Fields'!$H$5:$H$204,A28))</f>
        <v/>
      </c>
      <c r="S28" s="10">
        <f>IF(A28="","",COUNTIF('4 Extractions'!$E$5:$E$204,A28))</f>
        <v/>
      </c>
      <c r="T28" s="10">
        <f>IF(A28="","",IF(AND(F28&lt;&gt;"",G28&lt;&gt;"",H28&lt;&gt;"",I28&lt;&gt;"",N28&lt;&gt;"",O28&lt;&gt;"",P28&lt;&gt;"",OR(I28="Tracked today",I28="Can be tracked now",AND(K28&lt;&gt;"",L28&lt;&gt;""))),"Ready","Not ready"))</f>
        <v/>
      </c>
      <c r="U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>
        <f>IF(A29="","",COUNTIF('2 Tables'!$E$5:$E$204,"*"&amp;A29&amp;"*"))</f>
        <v/>
      </c>
      <c r="R29" s="10">
        <f>IF(A29="","",COUNTIF('3 Fields'!$H$5:$H$204,A29))</f>
        <v/>
      </c>
      <c r="S29" s="10">
        <f>IF(A29="","",COUNTIF('4 Extractions'!$E$5:$E$204,A29))</f>
        <v/>
      </c>
      <c r="T29" s="10">
        <f>IF(A29="","",IF(AND(F29&lt;&gt;"",G29&lt;&gt;"",H29&lt;&gt;"",I29&lt;&gt;"",N29&lt;&gt;"",O29&lt;&gt;"",P29&lt;&gt;"",OR(I29="Tracked today",I29="Can be tracked now",AND(K29&lt;&gt;"",L29&lt;&gt;""))),"Ready","Not ready"))</f>
        <v/>
      </c>
      <c r="U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>
        <f>IF(A30="","",COUNTIF('2 Tables'!$E$5:$E$204,"*"&amp;A30&amp;"*"))</f>
        <v/>
      </c>
      <c r="R30" s="10">
        <f>IF(A30="","",COUNTIF('3 Fields'!$H$5:$H$204,A30))</f>
        <v/>
      </c>
      <c r="S30" s="10">
        <f>IF(A30="","",COUNTIF('4 Extractions'!$E$5:$E$204,A30))</f>
        <v/>
      </c>
      <c r="T30" s="10">
        <f>IF(A30="","",IF(AND(F30&lt;&gt;"",G30&lt;&gt;"",H30&lt;&gt;"",I30&lt;&gt;"",N30&lt;&gt;"",O30&lt;&gt;"",P30&lt;&gt;"",OR(I30="Tracked today",I30="Can be tracked now",AND(K30&lt;&gt;"",L30&lt;&gt;""))),"Ready","Not ready"))</f>
        <v/>
      </c>
      <c r="U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>
        <f>IF(A31="","",COUNTIF('2 Tables'!$E$5:$E$204,"*"&amp;A31&amp;"*"))</f>
        <v/>
      </c>
      <c r="R31" s="10">
        <f>IF(A31="","",COUNTIF('3 Fields'!$H$5:$H$204,A31))</f>
        <v/>
      </c>
      <c r="S31" s="10">
        <f>IF(A31="","",COUNTIF('4 Extractions'!$E$5:$E$204,A31))</f>
        <v/>
      </c>
      <c r="T31" s="10">
        <f>IF(A31="","",IF(AND(F31&lt;&gt;"",G31&lt;&gt;"",H31&lt;&gt;"",I31&lt;&gt;"",N31&lt;&gt;"",O31&lt;&gt;"",P31&lt;&gt;"",OR(I31="Tracked today",I31="Can be tracked now",AND(K31&lt;&gt;"",L31&lt;&gt;""))),"Ready","Not ready"))</f>
        <v/>
      </c>
      <c r="U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>
        <f>IF(A32="","",COUNTIF('2 Tables'!$E$5:$E$204,"*"&amp;A32&amp;"*"))</f>
        <v/>
      </c>
      <c r="R32" s="10">
        <f>IF(A32="","",COUNTIF('3 Fields'!$H$5:$H$204,A32))</f>
        <v/>
      </c>
      <c r="S32" s="10">
        <f>IF(A32="","",COUNTIF('4 Extractions'!$E$5:$E$204,A32))</f>
        <v/>
      </c>
      <c r="T32" s="10">
        <f>IF(A32="","",IF(AND(F32&lt;&gt;"",G32&lt;&gt;"",H32&lt;&gt;"",I32&lt;&gt;"",N32&lt;&gt;"",O32&lt;&gt;"",P32&lt;&gt;"",OR(I32="Tracked today",I32="Can be tracked now",AND(K32&lt;&gt;"",L32&lt;&gt;""))),"Ready","Not ready"))</f>
        <v/>
      </c>
      <c r="U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>
        <f>IF(A33="","",COUNTIF('2 Tables'!$E$5:$E$204,"*"&amp;A33&amp;"*"))</f>
        <v/>
      </c>
      <c r="R33" s="10">
        <f>IF(A33="","",COUNTIF('3 Fields'!$H$5:$H$204,A33))</f>
        <v/>
      </c>
      <c r="S33" s="10">
        <f>IF(A33="","",COUNTIF('4 Extractions'!$E$5:$E$204,A33))</f>
        <v/>
      </c>
      <c r="T33" s="10">
        <f>IF(A33="","",IF(AND(F33&lt;&gt;"",G33&lt;&gt;"",H33&lt;&gt;"",I33&lt;&gt;"",N33&lt;&gt;"",O33&lt;&gt;"",P33&lt;&gt;"",OR(I33="Tracked today",I33="Can be tracked now",AND(K33&lt;&gt;"",L33&lt;&gt;""))),"Ready","Not ready"))</f>
        <v/>
      </c>
      <c r="U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>
        <f>IF(A34="","",COUNTIF('2 Tables'!$E$5:$E$204,"*"&amp;A34&amp;"*"))</f>
        <v/>
      </c>
      <c r="R34" s="10">
        <f>IF(A34="","",COUNTIF('3 Fields'!$H$5:$H$204,A34))</f>
        <v/>
      </c>
      <c r="S34" s="10">
        <f>IF(A34="","",COUNTIF('4 Extractions'!$E$5:$E$204,A34))</f>
        <v/>
      </c>
      <c r="T34" s="10">
        <f>IF(A34="","",IF(AND(F34&lt;&gt;"",G34&lt;&gt;"",H34&lt;&gt;"",I34&lt;&gt;"",N34&lt;&gt;"",O34&lt;&gt;"",P34&lt;&gt;"",OR(I34="Tracked today",I34="Can be tracked now",AND(K34&lt;&gt;"",L34&lt;&gt;""))),"Ready","Not ready"))</f>
        <v/>
      </c>
      <c r="U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>
        <f>IF(A35="","",COUNTIF('2 Tables'!$E$5:$E$204,"*"&amp;A35&amp;"*"))</f>
        <v/>
      </c>
      <c r="R35" s="10">
        <f>IF(A35="","",COUNTIF('3 Fields'!$H$5:$H$204,A35))</f>
        <v/>
      </c>
      <c r="S35" s="10">
        <f>IF(A35="","",COUNTIF('4 Extractions'!$E$5:$E$204,A35))</f>
        <v/>
      </c>
      <c r="T35" s="10">
        <f>IF(A35="","",IF(AND(F35&lt;&gt;"",G35&lt;&gt;"",H35&lt;&gt;"",I35&lt;&gt;"",N35&lt;&gt;"",O35&lt;&gt;"",P35&lt;&gt;"",OR(I35="Tracked today",I35="Can be tracked now",AND(K35&lt;&gt;"",L35&lt;&gt;""))),"Ready","Not ready"))</f>
        <v/>
      </c>
      <c r="U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>
        <f>IF(A36="","",COUNTIF('2 Tables'!$E$5:$E$204,"*"&amp;A36&amp;"*"))</f>
        <v/>
      </c>
      <c r="R36" s="10">
        <f>IF(A36="","",COUNTIF('3 Fields'!$H$5:$H$204,A36))</f>
        <v/>
      </c>
      <c r="S36" s="10">
        <f>IF(A36="","",COUNTIF('4 Extractions'!$E$5:$E$204,A36))</f>
        <v/>
      </c>
      <c r="T36" s="10">
        <f>IF(A36="","",IF(AND(F36&lt;&gt;"",G36&lt;&gt;"",H36&lt;&gt;"",I36&lt;&gt;"",N36&lt;&gt;"",O36&lt;&gt;"",P36&lt;&gt;"",OR(I36="Tracked today",I36="Can be tracked now",AND(K36&lt;&gt;"",L36&lt;&gt;""))),"Ready","Not ready"))</f>
        <v/>
      </c>
      <c r="U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>
        <f>IF(A37="","",COUNTIF('2 Tables'!$E$5:$E$204,"*"&amp;A37&amp;"*"))</f>
        <v/>
      </c>
      <c r="R37" s="10">
        <f>IF(A37="","",COUNTIF('3 Fields'!$H$5:$H$204,A37))</f>
        <v/>
      </c>
      <c r="S37" s="10">
        <f>IF(A37="","",COUNTIF('4 Extractions'!$E$5:$E$204,A37))</f>
        <v/>
      </c>
      <c r="T37" s="10">
        <f>IF(A37="","",IF(AND(F37&lt;&gt;"",G37&lt;&gt;"",H37&lt;&gt;"",I37&lt;&gt;"",N37&lt;&gt;"",O37&lt;&gt;"",P37&lt;&gt;"",OR(I37="Tracked today",I37="Can be tracked now",AND(K37&lt;&gt;"",L37&lt;&gt;""))),"Ready","Not ready"))</f>
        <v/>
      </c>
      <c r="U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>
        <f>IF(A38="","",COUNTIF('2 Tables'!$E$5:$E$204,"*"&amp;A38&amp;"*"))</f>
        <v/>
      </c>
      <c r="R38" s="10">
        <f>IF(A38="","",COUNTIF('3 Fields'!$H$5:$H$204,A38))</f>
        <v/>
      </c>
      <c r="S38" s="10">
        <f>IF(A38="","",COUNTIF('4 Extractions'!$E$5:$E$204,A38))</f>
        <v/>
      </c>
      <c r="T38" s="10">
        <f>IF(A38="","",IF(AND(F38&lt;&gt;"",G38&lt;&gt;"",H38&lt;&gt;"",I38&lt;&gt;"",N38&lt;&gt;"",O38&lt;&gt;"",P38&lt;&gt;"",OR(I38="Tracked today",I38="Can be tracked now",AND(K38&lt;&gt;"",L38&lt;&gt;""))),"Ready","Not ready"))</f>
        <v/>
      </c>
      <c r="U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>
        <f>IF(A39="","",COUNTIF('2 Tables'!$E$5:$E$204,"*"&amp;A39&amp;"*"))</f>
        <v/>
      </c>
      <c r="R39" s="10">
        <f>IF(A39="","",COUNTIF('3 Fields'!$H$5:$H$204,A39))</f>
        <v/>
      </c>
      <c r="S39" s="10">
        <f>IF(A39="","",COUNTIF('4 Extractions'!$E$5:$E$204,A39))</f>
        <v/>
      </c>
      <c r="T39" s="10">
        <f>IF(A39="","",IF(AND(F39&lt;&gt;"",G39&lt;&gt;"",H39&lt;&gt;"",I39&lt;&gt;"",N39&lt;&gt;"",O39&lt;&gt;"",P39&lt;&gt;"",OR(I39="Tracked today",I39="Can be tracked now",AND(K39&lt;&gt;"",L39&lt;&gt;""))),"Ready","Not ready"))</f>
        <v/>
      </c>
      <c r="U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>
        <f>IF(A40="","",COUNTIF('2 Tables'!$E$5:$E$204,"*"&amp;A40&amp;"*"))</f>
        <v/>
      </c>
      <c r="R40" s="10">
        <f>IF(A40="","",COUNTIF('3 Fields'!$H$5:$H$204,A40))</f>
        <v/>
      </c>
      <c r="S40" s="10">
        <f>IF(A40="","",COUNTIF('4 Extractions'!$E$5:$E$204,A40))</f>
        <v/>
      </c>
      <c r="T40" s="10">
        <f>IF(A40="","",IF(AND(F40&lt;&gt;"",G40&lt;&gt;"",H40&lt;&gt;"",I40&lt;&gt;"",N40&lt;&gt;"",O40&lt;&gt;"",P40&lt;&gt;"",OR(I40="Tracked today",I40="Can be tracked now",AND(K40&lt;&gt;"",L40&lt;&gt;""))),"Ready","Not ready"))</f>
        <v/>
      </c>
      <c r="U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>
        <f>IF(A41="","",COUNTIF('2 Tables'!$E$5:$E$204,"*"&amp;A41&amp;"*"))</f>
        <v/>
      </c>
      <c r="R41" s="10">
        <f>IF(A41="","",COUNTIF('3 Fields'!$H$5:$H$204,A41))</f>
        <v/>
      </c>
      <c r="S41" s="10">
        <f>IF(A41="","",COUNTIF('4 Extractions'!$E$5:$E$204,A41))</f>
        <v/>
      </c>
      <c r="T41" s="10">
        <f>IF(A41="","",IF(AND(F41&lt;&gt;"",G41&lt;&gt;"",H41&lt;&gt;"",I41&lt;&gt;"",N41&lt;&gt;"",O41&lt;&gt;"",P41&lt;&gt;"",OR(I41="Tracked today",I41="Can be tracked now",AND(K41&lt;&gt;"",L41&lt;&gt;""))),"Ready","Not ready"))</f>
        <v/>
      </c>
      <c r="U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>
        <f>IF(A42="","",COUNTIF('2 Tables'!$E$5:$E$204,"*"&amp;A42&amp;"*"))</f>
        <v/>
      </c>
      <c r="R42" s="10">
        <f>IF(A42="","",COUNTIF('3 Fields'!$H$5:$H$204,A42))</f>
        <v/>
      </c>
      <c r="S42" s="10">
        <f>IF(A42="","",COUNTIF('4 Extractions'!$E$5:$E$204,A42))</f>
        <v/>
      </c>
      <c r="T42" s="10">
        <f>IF(A42="","",IF(AND(F42&lt;&gt;"",G42&lt;&gt;"",H42&lt;&gt;"",I42&lt;&gt;"",N42&lt;&gt;"",O42&lt;&gt;"",P42&lt;&gt;"",OR(I42="Tracked today",I42="Can be tracked now",AND(K42&lt;&gt;"",L42&lt;&gt;""))),"Ready","Not ready"))</f>
        <v/>
      </c>
      <c r="U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>
        <f>IF(A43="","",COUNTIF('2 Tables'!$E$5:$E$204,"*"&amp;A43&amp;"*"))</f>
        <v/>
      </c>
      <c r="R43" s="10">
        <f>IF(A43="","",COUNTIF('3 Fields'!$H$5:$H$204,A43))</f>
        <v/>
      </c>
      <c r="S43" s="10">
        <f>IF(A43="","",COUNTIF('4 Extractions'!$E$5:$E$204,A43))</f>
        <v/>
      </c>
      <c r="T43" s="10">
        <f>IF(A43="","",IF(AND(F43&lt;&gt;"",G43&lt;&gt;"",H43&lt;&gt;"",I43&lt;&gt;"",N43&lt;&gt;"",O43&lt;&gt;"",P43&lt;&gt;"",OR(I43="Tracked today",I43="Can be tracked now",AND(K43&lt;&gt;"",L43&lt;&gt;""))),"Ready","Not ready"))</f>
        <v/>
      </c>
      <c r="U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>
        <f>IF(A44="","",COUNTIF('2 Tables'!$E$5:$E$204,"*"&amp;A44&amp;"*"))</f>
        <v/>
      </c>
      <c r="R44" s="10">
        <f>IF(A44="","",COUNTIF('3 Fields'!$H$5:$H$204,A44))</f>
        <v/>
      </c>
      <c r="S44" s="10">
        <f>IF(A44="","",COUNTIF('4 Extractions'!$E$5:$E$204,A44))</f>
        <v/>
      </c>
      <c r="T44" s="10">
        <f>IF(A44="","",IF(AND(F44&lt;&gt;"",G44&lt;&gt;"",H44&lt;&gt;"",I44&lt;&gt;"",N44&lt;&gt;"",O44&lt;&gt;"",P44&lt;&gt;"",OR(I44="Tracked today",I44="Can be tracked now",AND(K44&lt;&gt;"",L44&lt;&gt;""))),"Ready","Not ready"))</f>
        <v/>
      </c>
      <c r="U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>
        <f>IF(A45="","",COUNTIF('2 Tables'!$E$5:$E$204,"*"&amp;A45&amp;"*"))</f>
        <v/>
      </c>
      <c r="R45" s="10">
        <f>IF(A45="","",COUNTIF('3 Fields'!$H$5:$H$204,A45))</f>
        <v/>
      </c>
      <c r="S45" s="10">
        <f>IF(A45="","",COUNTIF('4 Extractions'!$E$5:$E$204,A45))</f>
        <v/>
      </c>
      <c r="T45" s="10">
        <f>IF(A45="","",IF(AND(F45&lt;&gt;"",G45&lt;&gt;"",H45&lt;&gt;"",I45&lt;&gt;"",N45&lt;&gt;"",O45&lt;&gt;"",P45&lt;&gt;"",OR(I45="Tracked today",I45="Can be tracked now",AND(K45&lt;&gt;"",L45&lt;&gt;""))),"Ready","Not ready"))</f>
        <v/>
      </c>
      <c r="U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>
        <f>IF(A46="","",COUNTIF('2 Tables'!$E$5:$E$204,"*"&amp;A46&amp;"*"))</f>
        <v/>
      </c>
      <c r="R46" s="10">
        <f>IF(A46="","",COUNTIF('3 Fields'!$H$5:$H$204,A46))</f>
        <v/>
      </c>
      <c r="S46" s="10">
        <f>IF(A46="","",COUNTIF('4 Extractions'!$E$5:$E$204,A46))</f>
        <v/>
      </c>
      <c r="T46" s="10">
        <f>IF(A46="","",IF(AND(F46&lt;&gt;"",G46&lt;&gt;"",H46&lt;&gt;"",I46&lt;&gt;"",N46&lt;&gt;"",O46&lt;&gt;"",P46&lt;&gt;"",OR(I46="Tracked today",I46="Can be tracked now",AND(K46&lt;&gt;"",L46&lt;&gt;""))),"Ready","Not ready"))</f>
        <v/>
      </c>
      <c r="U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>
        <f>IF(A47="","",COUNTIF('2 Tables'!$E$5:$E$204,"*"&amp;A47&amp;"*"))</f>
        <v/>
      </c>
      <c r="R47" s="10">
        <f>IF(A47="","",COUNTIF('3 Fields'!$H$5:$H$204,A47))</f>
        <v/>
      </c>
      <c r="S47" s="10">
        <f>IF(A47="","",COUNTIF('4 Extractions'!$E$5:$E$204,A47))</f>
        <v/>
      </c>
      <c r="T47" s="10">
        <f>IF(A47="","",IF(AND(F47&lt;&gt;"",G47&lt;&gt;"",H47&lt;&gt;"",I47&lt;&gt;"",N47&lt;&gt;"",O47&lt;&gt;"",P47&lt;&gt;"",OR(I47="Tracked today",I47="Can be tracked now",AND(K47&lt;&gt;"",L47&lt;&gt;""))),"Ready","Not ready"))</f>
        <v/>
      </c>
      <c r="U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>
        <f>IF(A48="","",COUNTIF('2 Tables'!$E$5:$E$204,"*"&amp;A48&amp;"*"))</f>
        <v/>
      </c>
      <c r="R48" s="10">
        <f>IF(A48="","",COUNTIF('3 Fields'!$H$5:$H$204,A48))</f>
        <v/>
      </c>
      <c r="S48" s="10">
        <f>IF(A48="","",COUNTIF('4 Extractions'!$E$5:$E$204,A48))</f>
        <v/>
      </c>
      <c r="T48" s="10">
        <f>IF(A48="","",IF(AND(F48&lt;&gt;"",G48&lt;&gt;"",H48&lt;&gt;"",I48&lt;&gt;"",N48&lt;&gt;"",O48&lt;&gt;"",P48&lt;&gt;"",OR(I48="Tracked today",I48="Can be tracked now",AND(K48&lt;&gt;"",L48&lt;&gt;""))),"Ready","Not ready"))</f>
        <v/>
      </c>
      <c r="U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>
        <f>IF(A49="","",COUNTIF('2 Tables'!$E$5:$E$204,"*"&amp;A49&amp;"*"))</f>
        <v/>
      </c>
      <c r="R49" s="10">
        <f>IF(A49="","",COUNTIF('3 Fields'!$H$5:$H$204,A49))</f>
        <v/>
      </c>
      <c r="S49" s="10">
        <f>IF(A49="","",COUNTIF('4 Extractions'!$E$5:$E$204,A49))</f>
        <v/>
      </c>
      <c r="T49" s="10">
        <f>IF(A49="","",IF(AND(F49&lt;&gt;"",G49&lt;&gt;"",H49&lt;&gt;"",I49&lt;&gt;"",N49&lt;&gt;"",O49&lt;&gt;"",P49&lt;&gt;"",OR(I49="Tracked today",I49="Can be tracked now",AND(K49&lt;&gt;"",L49&lt;&gt;""))),"Ready","Not ready"))</f>
        <v/>
      </c>
      <c r="U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>
        <f>IF(A50="","",COUNTIF('2 Tables'!$E$5:$E$204,"*"&amp;A50&amp;"*"))</f>
        <v/>
      </c>
      <c r="R50" s="10">
        <f>IF(A50="","",COUNTIF('3 Fields'!$H$5:$H$204,A50))</f>
        <v/>
      </c>
      <c r="S50" s="10">
        <f>IF(A50="","",COUNTIF('4 Extractions'!$E$5:$E$204,A50))</f>
        <v/>
      </c>
      <c r="T50" s="10">
        <f>IF(A50="","",IF(AND(F50&lt;&gt;"",G50&lt;&gt;"",H50&lt;&gt;"",I50&lt;&gt;"",N50&lt;&gt;"",O50&lt;&gt;"",P50&lt;&gt;"",OR(I50="Tracked today",I50="Can be tracked now",AND(K50&lt;&gt;"",L50&lt;&gt;""))),"Ready","Not ready"))</f>
        <v/>
      </c>
      <c r="U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>
        <f>IF(A51="","",COUNTIF('2 Tables'!$E$5:$E$204,"*"&amp;A51&amp;"*"))</f>
        <v/>
      </c>
      <c r="R51" s="10">
        <f>IF(A51="","",COUNTIF('3 Fields'!$H$5:$H$204,A51))</f>
        <v/>
      </c>
      <c r="S51" s="10">
        <f>IF(A51="","",COUNTIF('4 Extractions'!$E$5:$E$204,A51))</f>
        <v/>
      </c>
      <c r="T51" s="10">
        <f>IF(A51="","",IF(AND(F51&lt;&gt;"",G51&lt;&gt;"",H51&lt;&gt;"",I51&lt;&gt;"",N51&lt;&gt;"",O51&lt;&gt;"",P51&lt;&gt;"",OR(I51="Tracked today",I51="Can be tracked now",AND(K51&lt;&gt;"",L51&lt;&gt;""))),"Ready","Not ready"))</f>
        <v/>
      </c>
      <c r="U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>
        <f>IF(A52="","",COUNTIF('2 Tables'!$E$5:$E$204,"*"&amp;A52&amp;"*"))</f>
        <v/>
      </c>
      <c r="R52" s="10">
        <f>IF(A52="","",COUNTIF('3 Fields'!$H$5:$H$204,A52))</f>
        <v/>
      </c>
      <c r="S52" s="10">
        <f>IF(A52="","",COUNTIF('4 Extractions'!$E$5:$E$204,A52))</f>
        <v/>
      </c>
      <c r="T52" s="10">
        <f>IF(A52="","",IF(AND(F52&lt;&gt;"",G52&lt;&gt;"",H52&lt;&gt;"",I52&lt;&gt;"",N52&lt;&gt;"",O52&lt;&gt;"",P52&lt;&gt;"",OR(I52="Tracked today",I52="Can be tracked now",AND(K52&lt;&gt;"",L52&lt;&gt;""))),"Ready","Not ready"))</f>
        <v/>
      </c>
      <c r="U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>
        <f>IF(A53="","",COUNTIF('2 Tables'!$E$5:$E$204,"*"&amp;A53&amp;"*"))</f>
        <v/>
      </c>
      <c r="R53" s="10">
        <f>IF(A53="","",COUNTIF('3 Fields'!$H$5:$H$204,A53))</f>
        <v/>
      </c>
      <c r="S53" s="10">
        <f>IF(A53="","",COUNTIF('4 Extractions'!$E$5:$E$204,A53))</f>
        <v/>
      </c>
      <c r="T53" s="10">
        <f>IF(A53="","",IF(AND(F53&lt;&gt;"",G53&lt;&gt;"",H53&lt;&gt;"",I53&lt;&gt;"",N53&lt;&gt;"",O53&lt;&gt;"",P53&lt;&gt;"",OR(I53="Tracked today",I53="Can be tracked now",AND(K53&lt;&gt;"",L53&lt;&gt;""))),"Ready","Not ready"))</f>
        <v/>
      </c>
      <c r="U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>
        <f>IF(A54="","",COUNTIF('2 Tables'!$E$5:$E$204,"*"&amp;A54&amp;"*"))</f>
        <v/>
      </c>
      <c r="R54" s="10">
        <f>IF(A54="","",COUNTIF('3 Fields'!$H$5:$H$204,A54))</f>
        <v/>
      </c>
      <c r="S54" s="10">
        <f>IF(A54="","",COUNTIF('4 Extractions'!$E$5:$E$204,A54))</f>
        <v/>
      </c>
      <c r="T54" s="10">
        <f>IF(A54="","",IF(AND(F54&lt;&gt;"",G54&lt;&gt;"",H54&lt;&gt;"",I54&lt;&gt;"",N54&lt;&gt;"",O54&lt;&gt;"",P54&lt;&gt;"",OR(I54="Tracked today",I54="Can be tracked now",AND(K54&lt;&gt;"",L54&lt;&gt;""))),"Ready","Not ready"))</f>
        <v/>
      </c>
      <c r="U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>
        <f>IF(A55="","",COUNTIF('2 Tables'!$E$5:$E$204,"*"&amp;A55&amp;"*"))</f>
        <v/>
      </c>
      <c r="R55" s="10">
        <f>IF(A55="","",COUNTIF('3 Fields'!$H$5:$H$204,A55))</f>
        <v/>
      </c>
      <c r="S55" s="10">
        <f>IF(A55="","",COUNTIF('4 Extractions'!$E$5:$E$204,A55))</f>
        <v/>
      </c>
      <c r="T55" s="10">
        <f>IF(A55="","",IF(AND(F55&lt;&gt;"",G55&lt;&gt;"",H55&lt;&gt;"",I55&lt;&gt;"",N55&lt;&gt;"",O55&lt;&gt;"",P55&lt;&gt;"",OR(I55="Tracked today",I55="Can be tracked now",AND(K55&lt;&gt;"",L55&lt;&gt;""))),"Ready","Not ready"))</f>
        <v/>
      </c>
      <c r="U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>
        <f>IF(A56="","",COUNTIF('2 Tables'!$E$5:$E$204,"*"&amp;A56&amp;"*"))</f>
        <v/>
      </c>
      <c r="R56" s="10">
        <f>IF(A56="","",COUNTIF('3 Fields'!$H$5:$H$204,A56))</f>
        <v/>
      </c>
      <c r="S56" s="10">
        <f>IF(A56="","",COUNTIF('4 Extractions'!$E$5:$E$204,A56))</f>
        <v/>
      </c>
      <c r="T56" s="10">
        <f>IF(A56="","",IF(AND(F56&lt;&gt;"",G56&lt;&gt;"",H56&lt;&gt;"",I56&lt;&gt;"",N56&lt;&gt;"",O56&lt;&gt;"",P56&lt;&gt;"",OR(I56="Tracked today",I56="Can be tracked now",AND(K56&lt;&gt;"",L56&lt;&gt;""))),"Ready","Not ready"))</f>
        <v/>
      </c>
      <c r="U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>
        <f>IF(A57="","",COUNTIF('2 Tables'!$E$5:$E$204,"*"&amp;A57&amp;"*"))</f>
        <v/>
      </c>
      <c r="R57" s="10">
        <f>IF(A57="","",COUNTIF('3 Fields'!$H$5:$H$204,A57))</f>
        <v/>
      </c>
      <c r="S57" s="10">
        <f>IF(A57="","",COUNTIF('4 Extractions'!$E$5:$E$204,A57))</f>
        <v/>
      </c>
      <c r="T57" s="10">
        <f>IF(A57="","",IF(AND(F57&lt;&gt;"",G57&lt;&gt;"",H57&lt;&gt;"",I57&lt;&gt;"",N57&lt;&gt;"",O57&lt;&gt;"",P57&lt;&gt;"",OR(I57="Tracked today",I57="Can be tracked now",AND(K57&lt;&gt;"",L57&lt;&gt;""))),"Ready","Not ready"))</f>
        <v/>
      </c>
      <c r="U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>
        <f>IF(A58="","",COUNTIF('2 Tables'!$E$5:$E$204,"*"&amp;A58&amp;"*"))</f>
        <v/>
      </c>
      <c r="R58" s="10">
        <f>IF(A58="","",COUNTIF('3 Fields'!$H$5:$H$204,A58))</f>
        <v/>
      </c>
      <c r="S58" s="10">
        <f>IF(A58="","",COUNTIF('4 Extractions'!$E$5:$E$204,A58))</f>
        <v/>
      </c>
      <c r="T58" s="10">
        <f>IF(A58="","",IF(AND(F58&lt;&gt;"",G58&lt;&gt;"",H58&lt;&gt;"",I58&lt;&gt;"",N58&lt;&gt;"",O58&lt;&gt;"",P58&lt;&gt;"",OR(I58="Tracked today",I58="Can be tracked now",AND(K58&lt;&gt;"",L58&lt;&gt;""))),"Ready","Not ready"))</f>
        <v/>
      </c>
      <c r="U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>
        <f>IF(A59="","",COUNTIF('2 Tables'!$E$5:$E$204,"*"&amp;A59&amp;"*"))</f>
        <v/>
      </c>
      <c r="R59" s="10">
        <f>IF(A59="","",COUNTIF('3 Fields'!$H$5:$H$204,A59))</f>
        <v/>
      </c>
      <c r="S59" s="10">
        <f>IF(A59="","",COUNTIF('4 Extractions'!$E$5:$E$204,A59))</f>
        <v/>
      </c>
      <c r="T59" s="10">
        <f>IF(A59="","",IF(AND(F59&lt;&gt;"",G59&lt;&gt;"",H59&lt;&gt;"",I59&lt;&gt;"",N59&lt;&gt;"",O59&lt;&gt;"",P59&lt;&gt;"",OR(I59="Tracked today",I59="Can be tracked now",AND(K59&lt;&gt;"",L59&lt;&gt;""))),"Ready","Not ready"))</f>
        <v/>
      </c>
      <c r="U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>
        <f>IF(A60="","",COUNTIF('2 Tables'!$E$5:$E$204,"*"&amp;A60&amp;"*"))</f>
        <v/>
      </c>
      <c r="R60" s="10">
        <f>IF(A60="","",COUNTIF('3 Fields'!$H$5:$H$204,A60))</f>
        <v/>
      </c>
      <c r="S60" s="10">
        <f>IF(A60="","",COUNTIF('4 Extractions'!$E$5:$E$204,A60))</f>
        <v/>
      </c>
      <c r="T60" s="10">
        <f>IF(A60="","",IF(AND(F60&lt;&gt;"",G60&lt;&gt;"",H60&lt;&gt;"",I60&lt;&gt;"",N60&lt;&gt;"",O60&lt;&gt;"",P60&lt;&gt;"",OR(I60="Tracked today",I60="Can be tracked now",AND(K60&lt;&gt;"",L60&lt;&gt;""))),"Ready","Not ready"))</f>
        <v/>
      </c>
      <c r="U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>
        <f>IF(A61="","",COUNTIF('2 Tables'!$E$5:$E$204,"*"&amp;A61&amp;"*"))</f>
        <v/>
      </c>
      <c r="R61" s="10">
        <f>IF(A61="","",COUNTIF('3 Fields'!$H$5:$H$204,A61))</f>
        <v/>
      </c>
      <c r="S61" s="10">
        <f>IF(A61="","",COUNTIF('4 Extractions'!$E$5:$E$204,A61))</f>
        <v/>
      </c>
      <c r="T61" s="10">
        <f>IF(A61="","",IF(AND(F61&lt;&gt;"",G61&lt;&gt;"",H61&lt;&gt;"",I61&lt;&gt;"",N61&lt;&gt;"",O61&lt;&gt;"",P61&lt;&gt;"",OR(I61="Tracked today",I61="Can be tracked now",AND(K61&lt;&gt;"",L61&lt;&gt;""))),"Ready","Not ready"))</f>
        <v/>
      </c>
      <c r="U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>
        <f>IF(A62="","",COUNTIF('2 Tables'!$E$5:$E$204,"*"&amp;A62&amp;"*"))</f>
        <v/>
      </c>
      <c r="R62" s="10">
        <f>IF(A62="","",COUNTIF('3 Fields'!$H$5:$H$204,A62))</f>
        <v/>
      </c>
      <c r="S62" s="10">
        <f>IF(A62="","",COUNTIF('4 Extractions'!$E$5:$E$204,A62))</f>
        <v/>
      </c>
      <c r="T62" s="10">
        <f>IF(A62="","",IF(AND(F62&lt;&gt;"",G62&lt;&gt;"",H62&lt;&gt;"",I62&lt;&gt;"",N62&lt;&gt;"",O62&lt;&gt;"",P62&lt;&gt;"",OR(I62="Tracked today",I62="Can be tracked now",AND(K62&lt;&gt;"",L62&lt;&gt;""))),"Ready","Not ready"))</f>
        <v/>
      </c>
      <c r="U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>
        <f>IF(A63="","",COUNTIF('2 Tables'!$E$5:$E$204,"*"&amp;A63&amp;"*"))</f>
        <v/>
      </c>
      <c r="R63" s="10">
        <f>IF(A63="","",COUNTIF('3 Fields'!$H$5:$H$204,A63))</f>
        <v/>
      </c>
      <c r="S63" s="10">
        <f>IF(A63="","",COUNTIF('4 Extractions'!$E$5:$E$204,A63))</f>
        <v/>
      </c>
      <c r="T63" s="10">
        <f>IF(A63="","",IF(AND(F63&lt;&gt;"",G63&lt;&gt;"",H63&lt;&gt;"",I63&lt;&gt;"",N63&lt;&gt;"",O63&lt;&gt;"",P63&lt;&gt;"",OR(I63="Tracked today",I63="Can be tracked now",AND(K63&lt;&gt;"",L63&lt;&gt;""))),"Ready","Not ready"))</f>
        <v/>
      </c>
      <c r="U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>
        <f>IF(A64="","",COUNTIF('2 Tables'!$E$5:$E$204,"*"&amp;A64&amp;"*"))</f>
        <v/>
      </c>
      <c r="R64" s="10">
        <f>IF(A64="","",COUNTIF('3 Fields'!$H$5:$H$204,A64))</f>
        <v/>
      </c>
      <c r="S64" s="10">
        <f>IF(A64="","",COUNTIF('4 Extractions'!$E$5:$E$204,A64))</f>
        <v/>
      </c>
      <c r="T64" s="10">
        <f>IF(A64="","",IF(AND(F64&lt;&gt;"",G64&lt;&gt;"",H64&lt;&gt;"",I64&lt;&gt;"",N64&lt;&gt;"",O64&lt;&gt;"",P64&lt;&gt;"",OR(I64="Tracked today",I64="Can be tracked now",AND(K64&lt;&gt;"",L64&lt;&gt;""))),"Ready","Not ready"))</f>
        <v/>
      </c>
      <c r="U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>
        <f>IF(A65="","",COUNTIF('2 Tables'!$E$5:$E$204,"*"&amp;A65&amp;"*"))</f>
        <v/>
      </c>
      <c r="R65" s="10">
        <f>IF(A65="","",COUNTIF('3 Fields'!$H$5:$H$204,A65))</f>
        <v/>
      </c>
      <c r="S65" s="10">
        <f>IF(A65="","",COUNTIF('4 Extractions'!$E$5:$E$204,A65))</f>
        <v/>
      </c>
      <c r="T65" s="10">
        <f>IF(A65="","",IF(AND(F65&lt;&gt;"",G65&lt;&gt;"",H65&lt;&gt;"",I65&lt;&gt;"",N65&lt;&gt;"",O65&lt;&gt;"",P65&lt;&gt;"",OR(I65="Tracked today",I65="Can be tracked now",AND(K65&lt;&gt;"",L65&lt;&gt;""))),"Ready","Not ready"))</f>
        <v/>
      </c>
      <c r="U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>
        <f>IF(A66="","",COUNTIF('2 Tables'!$E$5:$E$204,"*"&amp;A66&amp;"*"))</f>
        <v/>
      </c>
      <c r="R66" s="10">
        <f>IF(A66="","",COUNTIF('3 Fields'!$H$5:$H$204,A66))</f>
        <v/>
      </c>
      <c r="S66" s="10">
        <f>IF(A66="","",COUNTIF('4 Extractions'!$E$5:$E$204,A66))</f>
        <v/>
      </c>
      <c r="T66" s="10">
        <f>IF(A66="","",IF(AND(F66&lt;&gt;"",G66&lt;&gt;"",H66&lt;&gt;"",I66&lt;&gt;"",N66&lt;&gt;"",O66&lt;&gt;"",P66&lt;&gt;"",OR(I66="Tracked today",I66="Can be tracked now",AND(K66&lt;&gt;"",L66&lt;&gt;""))),"Ready","Not ready"))</f>
        <v/>
      </c>
      <c r="U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>
        <f>IF(A67="","",COUNTIF('2 Tables'!$E$5:$E$204,"*"&amp;A67&amp;"*"))</f>
        <v/>
      </c>
      <c r="R67" s="10">
        <f>IF(A67="","",COUNTIF('3 Fields'!$H$5:$H$204,A67))</f>
        <v/>
      </c>
      <c r="S67" s="10">
        <f>IF(A67="","",COUNTIF('4 Extractions'!$E$5:$E$204,A67))</f>
        <v/>
      </c>
      <c r="T67" s="10">
        <f>IF(A67="","",IF(AND(F67&lt;&gt;"",G67&lt;&gt;"",H67&lt;&gt;"",I67&lt;&gt;"",N67&lt;&gt;"",O67&lt;&gt;"",P67&lt;&gt;"",OR(I67="Tracked today",I67="Can be tracked now",AND(K67&lt;&gt;"",L67&lt;&gt;""))),"Ready","Not ready"))</f>
        <v/>
      </c>
      <c r="U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>
        <f>IF(A68="","",COUNTIF('2 Tables'!$E$5:$E$204,"*"&amp;A68&amp;"*"))</f>
        <v/>
      </c>
      <c r="R68" s="10">
        <f>IF(A68="","",COUNTIF('3 Fields'!$H$5:$H$204,A68))</f>
        <v/>
      </c>
      <c r="S68" s="10">
        <f>IF(A68="","",COUNTIF('4 Extractions'!$E$5:$E$204,A68))</f>
        <v/>
      </c>
      <c r="T68" s="10">
        <f>IF(A68="","",IF(AND(F68&lt;&gt;"",G68&lt;&gt;"",H68&lt;&gt;"",I68&lt;&gt;"",N68&lt;&gt;"",O68&lt;&gt;"",P68&lt;&gt;"",OR(I68="Tracked today",I68="Can be tracked now",AND(K68&lt;&gt;"",L68&lt;&gt;""))),"Ready","Not ready"))</f>
        <v/>
      </c>
      <c r="U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>
        <f>IF(A69="","",COUNTIF('2 Tables'!$E$5:$E$204,"*"&amp;A69&amp;"*"))</f>
        <v/>
      </c>
      <c r="R69" s="10">
        <f>IF(A69="","",COUNTIF('3 Fields'!$H$5:$H$204,A69))</f>
        <v/>
      </c>
      <c r="S69" s="10">
        <f>IF(A69="","",COUNTIF('4 Extractions'!$E$5:$E$204,A69))</f>
        <v/>
      </c>
      <c r="T69" s="10">
        <f>IF(A69="","",IF(AND(F69&lt;&gt;"",G69&lt;&gt;"",H69&lt;&gt;"",I69&lt;&gt;"",N69&lt;&gt;"",O69&lt;&gt;"",P69&lt;&gt;"",OR(I69="Tracked today",I69="Can be tracked now",AND(K69&lt;&gt;"",L69&lt;&gt;""))),"Ready","Not ready"))</f>
        <v/>
      </c>
      <c r="U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>
        <f>IF(A70="","",COUNTIF('2 Tables'!$E$5:$E$204,"*"&amp;A70&amp;"*"))</f>
        <v/>
      </c>
      <c r="R70" s="10">
        <f>IF(A70="","",COUNTIF('3 Fields'!$H$5:$H$204,A70))</f>
        <v/>
      </c>
      <c r="S70" s="10">
        <f>IF(A70="","",COUNTIF('4 Extractions'!$E$5:$E$204,A70))</f>
        <v/>
      </c>
      <c r="T70" s="10">
        <f>IF(A70="","",IF(AND(F70&lt;&gt;"",G70&lt;&gt;"",H70&lt;&gt;"",I70&lt;&gt;"",N70&lt;&gt;"",O70&lt;&gt;"",P70&lt;&gt;"",OR(I70="Tracked today",I70="Can be tracked now",AND(K70&lt;&gt;"",L70&lt;&gt;""))),"Ready","Not ready"))</f>
        <v/>
      </c>
      <c r="U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>
        <f>IF(A71="","",COUNTIF('2 Tables'!$E$5:$E$204,"*"&amp;A71&amp;"*"))</f>
        <v/>
      </c>
      <c r="R71" s="10">
        <f>IF(A71="","",COUNTIF('3 Fields'!$H$5:$H$204,A71))</f>
        <v/>
      </c>
      <c r="S71" s="10">
        <f>IF(A71="","",COUNTIF('4 Extractions'!$E$5:$E$204,A71))</f>
        <v/>
      </c>
      <c r="T71" s="10">
        <f>IF(A71="","",IF(AND(F71&lt;&gt;"",G71&lt;&gt;"",H71&lt;&gt;"",I71&lt;&gt;"",N71&lt;&gt;"",O71&lt;&gt;"",P71&lt;&gt;"",OR(I71="Tracked today",I71="Can be tracked now",AND(K71&lt;&gt;"",L71&lt;&gt;""))),"Ready","Not ready"))</f>
        <v/>
      </c>
      <c r="U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>
        <f>IF(A72="","",COUNTIF('2 Tables'!$E$5:$E$204,"*"&amp;A72&amp;"*"))</f>
        <v/>
      </c>
      <c r="R72" s="10">
        <f>IF(A72="","",COUNTIF('3 Fields'!$H$5:$H$204,A72))</f>
        <v/>
      </c>
      <c r="S72" s="10">
        <f>IF(A72="","",COUNTIF('4 Extractions'!$E$5:$E$204,A72))</f>
        <v/>
      </c>
      <c r="T72" s="10">
        <f>IF(A72="","",IF(AND(F72&lt;&gt;"",G72&lt;&gt;"",H72&lt;&gt;"",I72&lt;&gt;"",N72&lt;&gt;"",O72&lt;&gt;"",P72&lt;&gt;"",OR(I72="Tracked today",I72="Can be tracked now",AND(K72&lt;&gt;"",L72&lt;&gt;""))),"Ready","Not ready"))</f>
        <v/>
      </c>
      <c r="U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>
        <f>IF(A73="","",COUNTIF('2 Tables'!$E$5:$E$204,"*"&amp;A73&amp;"*"))</f>
        <v/>
      </c>
      <c r="R73" s="10">
        <f>IF(A73="","",COUNTIF('3 Fields'!$H$5:$H$204,A73))</f>
        <v/>
      </c>
      <c r="S73" s="10">
        <f>IF(A73="","",COUNTIF('4 Extractions'!$E$5:$E$204,A73))</f>
        <v/>
      </c>
      <c r="T73" s="10">
        <f>IF(A73="","",IF(AND(F73&lt;&gt;"",G73&lt;&gt;"",H73&lt;&gt;"",I73&lt;&gt;"",N73&lt;&gt;"",O73&lt;&gt;"",P73&lt;&gt;"",OR(I73="Tracked today",I73="Can be tracked now",AND(K73&lt;&gt;"",L73&lt;&gt;""))),"Ready","Not ready"))</f>
        <v/>
      </c>
      <c r="U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>
        <f>IF(A74="","",COUNTIF('2 Tables'!$E$5:$E$204,"*"&amp;A74&amp;"*"))</f>
        <v/>
      </c>
      <c r="R74" s="10">
        <f>IF(A74="","",COUNTIF('3 Fields'!$H$5:$H$204,A74))</f>
        <v/>
      </c>
      <c r="S74" s="10">
        <f>IF(A74="","",COUNTIF('4 Extractions'!$E$5:$E$204,A74))</f>
        <v/>
      </c>
      <c r="T74" s="10">
        <f>IF(A74="","",IF(AND(F74&lt;&gt;"",G74&lt;&gt;"",H74&lt;&gt;"",I74&lt;&gt;"",N74&lt;&gt;"",O74&lt;&gt;"",P74&lt;&gt;"",OR(I74="Tracked today",I74="Can be tracked now",AND(K74&lt;&gt;"",L74&lt;&gt;""))),"Ready","Not ready"))</f>
        <v/>
      </c>
      <c r="U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>
        <f>IF(A75="","",COUNTIF('2 Tables'!$E$5:$E$204,"*"&amp;A75&amp;"*"))</f>
        <v/>
      </c>
      <c r="R75" s="10">
        <f>IF(A75="","",COUNTIF('3 Fields'!$H$5:$H$204,A75))</f>
        <v/>
      </c>
      <c r="S75" s="10">
        <f>IF(A75="","",COUNTIF('4 Extractions'!$E$5:$E$204,A75))</f>
        <v/>
      </c>
      <c r="T75" s="10">
        <f>IF(A75="","",IF(AND(F75&lt;&gt;"",G75&lt;&gt;"",H75&lt;&gt;"",I75&lt;&gt;"",N75&lt;&gt;"",O75&lt;&gt;"",P75&lt;&gt;"",OR(I75="Tracked today",I75="Can be tracked now",AND(K75&lt;&gt;"",L75&lt;&gt;""))),"Ready","Not ready"))</f>
        <v/>
      </c>
      <c r="U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>
        <f>IF(A76="","",COUNTIF('2 Tables'!$E$5:$E$204,"*"&amp;A76&amp;"*"))</f>
        <v/>
      </c>
      <c r="R76" s="10">
        <f>IF(A76="","",COUNTIF('3 Fields'!$H$5:$H$204,A76))</f>
        <v/>
      </c>
      <c r="S76" s="10">
        <f>IF(A76="","",COUNTIF('4 Extractions'!$E$5:$E$204,A76))</f>
        <v/>
      </c>
      <c r="T76" s="10">
        <f>IF(A76="","",IF(AND(F76&lt;&gt;"",G76&lt;&gt;"",H76&lt;&gt;"",I76&lt;&gt;"",N76&lt;&gt;"",O76&lt;&gt;"",P76&lt;&gt;"",OR(I76="Tracked today",I76="Can be tracked now",AND(K76&lt;&gt;"",L76&lt;&gt;""))),"Ready","Not ready"))</f>
        <v/>
      </c>
      <c r="U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>
        <f>IF(A77="","",COUNTIF('2 Tables'!$E$5:$E$204,"*"&amp;A77&amp;"*"))</f>
        <v/>
      </c>
      <c r="R77" s="10">
        <f>IF(A77="","",COUNTIF('3 Fields'!$H$5:$H$204,A77))</f>
        <v/>
      </c>
      <c r="S77" s="10">
        <f>IF(A77="","",COUNTIF('4 Extractions'!$E$5:$E$204,A77))</f>
        <v/>
      </c>
      <c r="T77" s="10">
        <f>IF(A77="","",IF(AND(F77&lt;&gt;"",G77&lt;&gt;"",H77&lt;&gt;"",I77&lt;&gt;"",N77&lt;&gt;"",O77&lt;&gt;"",P77&lt;&gt;"",OR(I77="Tracked today",I77="Can be tracked now",AND(K77&lt;&gt;"",L77&lt;&gt;""))),"Ready","Not ready"))</f>
        <v/>
      </c>
      <c r="U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>
        <f>IF(A78="","",COUNTIF('2 Tables'!$E$5:$E$204,"*"&amp;A78&amp;"*"))</f>
        <v/>
      </c>
      <c r="R78" s="10">
        <f>IF(A78="","",COUNTIF('3 Fields'!$H$5:$H$204,A78))</f>
        <v/>
      </c>
      <c r="S78" s="10">
        <f>IF(A78="","",COUNTIF('4 Extractions'!$E$5:$E$204,A78))</f>
        <v/>
      </c>
      <c r="T78" s="10">
        <f>IF(A78="","",IF(AND(F78&lt;&gt;"",G78&lt;&gt;"",H78&lt;&gt;"",I78&lt;&gt;"",N78&lt;&gt;"",O78&lt;&gt;"",P78&lt;&gt;"",OR(I78="Tracked today",I78="Can be tracked now",AND(K78&lt;&gt;"",L78&lt;&gt;""))),"Ready","Not ready"))</f>
        <v/>
      </c>
      <c r="U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>
        <f>IF(A79="","",COUNTIF('2 Tables'!$E$5:$E$204,"*"&amp;A79&amp;"*"))</f>
        <v/>
      </c>
      <c r="R79" s="10">
        <f>IF(A79="","",COUNTIF('3 Fields'!$H$5:$H$204,A79))</f>
        <v/>
      </c>
      <c r="S79" s="10">
        <f>IF(A79="","",COUNTIF('4 Extractions'!$E$5:$E$204,A79))</f>
        <v/>
      </c>
      <c r="T79" s="10">
        <f>IF(A79="","",IF(AND(F79&lt;&gt;"",G79&lt;&gt;"",H79&lt;&gt;"",I79&lt;&gt;"",N79&lt;&gt;"",O79&lt;&gt;"",P79&lt;&gt;"",OR(I79="Tracked today",I79="Can be tracked now",AND(K79&lt;&gt;"",L79&lt;&gt;""))),"Ready","Not ready"))</f>
        <v/>
      </c>
      <c r="U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>
        <f>IF(A80="","",COUNTIF('2 Tables'!$E$5:$E$204,"*"&amp;A80&amp;"*"))</f>
        <v/>
      </c>
      <c r="R80" s="10">
        <f>IF(A80="","",COUNTIF('3 Fields'!$H$5:$H$204,A80))</f>
        <v/>
      </c>
      <c r="S80" s="10">
        <f>IF(A80="","",COUNTIF('4 Extractions'!$E$5:$E$204,A80))</f>
        <v/>
      </c>
      <c r="T80" s="10">
        <f>IF(A80="","",IF(AND(F80&lt;&gt;"",G80&lt;&gt;"",H80&lt;&gt;"",I80&lt;&gt;"",N80&lt;&gt;"",O80&lt;&gt;"",P80&lt;&gt;"",OR(I80="Tracked today",I80="Can be tracked now",AND(K80&lt;&gt;"",L80&lt;&gt;""))),"Ready","Not ready"))</f>
        <v/>
      </c>
      <c r="U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>
        <f>IF(A81="","",COUNTIF('2 Tables'!$E$5:$E$204,"*"&amp;A81&amp;"*"))</f>
        <v/>
      </c>
      <c r="R81" s="10">
        <f>IF(A81="","",COUNTIF('3 Fields'!$H$5:$H$204,A81))</f>
        <v/>
      </c>
      <c r="S81" s="10">
        <f>IF(A81="","",COUNTIF('4 Extractions'!$E$5:$E$204,A81))</f>
        <v/>
      </c>
      <c r="T81" s="10">
        <f>IF(A81="","",IF(AND(F81&lt;&gt;"",G81&lt;&gt;"",H81&lt;&gt;"",I81&lt;&gt;"",N81&lt;&gt;"",O81&lt;&gt;"",P81&lt;&gt;"",OR(I81="Tracked today",I81="Can be tracked now",AND(K81&lt;&gt;"",L81&lt;&gt;""))),"Ready","Not ready"))</f>
        <v/>
      </c>
      <c r="U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>
        <f>IF(A82="","",COUNTIF('2 Tables'!$E$5:$E$204,"*"&amp;A82&amp;"*"))</f>
        <v/>
      </c>
      <c r="R82" s="10">
        <f>IF(A82="","",COUNTIF('3 Fields'!$H$5:$H$204,A82))</f>
        <v/>
      </c>
      <c r="S82" s="10">
        <f>IF(A82="","",COUNTIF('4 Extractions'!$E$5:$E$204,A82))</f>
        <v/>
      </c>
      <c r="T82" s="10">
        <f>IF(A82="","",IF(AND(F82&lt;&gt;"",G82&lt;&gt;"",H82&lt;&gt;"",I82&lt;&gt;"",N82&lt;&gt;"",O82&lt;&gt;"",P82&lt;&gt;"",OR(I82="Tracked today",I82="Can be tracked now",AND(K82&lt;&gt;"",L82&lt;&gt;""))),"Ready","Not ready"))</f>
        <v/>
      </c>
      <c r="U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>
        <f>IF(A83="","",COUNTIF('2 Tables'!$E$5:$E$204,"*"&amp;A83&amp;"*"))</f>
        <v/>
      </c>
      <c r="R83" s="10">
        <f>IF(A83="","",COUNTIF('3 Fields'!$H$5:$H$204,A83))</f>
        <v/>
      </c>
      <c r="S83" s="10">
        <f>IF(A83="","",COUNTIF('4 Extractions'!$E$5:$E$204,A83))</f>
        <v/>
      </c>
      <c r="T83" s="10">
        <f>IF(A83="","",IF(AND(F83&lt;&gt;"",G83&lt;&gt;"",H83&lt;&gt;"",I83&lt;&gt;"",N83&lt;&gt;"",O83&lt;&gt;"",P83&lt;&gt;"",OR(I83="Tracked today",I83="Can be tracked now",AND(K83&lt;&gt;"",L83&lt;&gt;""))),"Ready","Not ready"))</f>
        <v/>
      </c>
      <c r="U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>
        <f>IF(A84="","",COUNTIF('2 Tables'!$E$5:$E$204,"*"&amp;A84&amp;"*"))</f>
        <v/>
      </c>
      <c r="R84" s="10">
        <f>IF(A84="","",COUNTIF('3 Fields'!$H$5:$H$204,A84))</f>
        <v/>
      </c>
      <c r="S84" s="10">
        <f>IF(A84="","",COUNTIF('4 Extractions'!$E$5:$E$204,A84))</f>
        <v/>
      </c>
      <c r="T84" s="10">
        <f>IF(A84="","",IF(AND(F84&lt;&gt;"",G84&lt;&gt;"",H84&lt;&gt;"",I84&lt;&gt;"",N84&lt;&gt;"",O84&lt;&gt;"",P84&lt;&gt;"",OR(I84="Tracked today",I84="Can be tracked now",AND(K84&lt;&gt;"",L84&lt;&gt;""))),"Ready","Not ready"))</f>
        <v/>
      </c>
      <c r="U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>
        <f>IF(A85="","",COUNTIF('2 Tables'!$E$5:$E$204,"*"&amp;A85&amp;"*"))</f>
        <v/>
      </c>
      <c r="R85" s="10">
        <f>IF(A85="","",COUNTIF('3 Fields'!$H$5:$H$204,A85))</f>
        <v/>
      </c>
      <c r="S85" s="10">
        <f>IF(A85="","",COUNTIF('4 Extractions'!$E$5:$E$204,A85))</f>
        <v/>
      </c>
      <c r="T85" s="10">
        <f>IF(A85="","",IF(AND(F85&lt;&gt;"",G85&lt;&gt;"",H85&lt;&gt;"",I85&lt;&gt;"",N85&lt;&gt;"",O85&lt;&gt;"",P85&lt;&gt;"",OR(I85="Tracked today",I85="Can be tracked now",AND(K85&lt;&gt;"",L85&lt;&gt;""))),"Ready","Not ready"))</f>
        <v/>
      </c>
      <c r="U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>
        <f>IF(A86="","",COUNTIF('2 Tables'!$E$5:$E$204,"*"&amp;A86&amp;"*"))</f>
        <v/>
      </c>
      <c r="R86" s="10">
        <f>IF(A86="","",COUNTIF('3 Fields'!$H$5:$H$204,A86))</f>
        <v/>
      </c>
      <c r="S86" s="10">
        <f>IF(A86="","",COUNTIF('4 Extractions'!$E$5:$E$204,A86))</f>
        <v/>
      </c>
      <c r="T86" s="10">
        <f>IF(A86="","",IF(AND(F86&lt;&gt;"",G86&lt;&gt;"",H86&lt;&gt;"",I86&lt;&gt;"",N86&lt;&gt;"",O86&lt;&gt;"",P86&lt;&gt;"",OR(I86="Tracked today",I86="Can be tracked now",AND(K86&lt;&gt;"",L86&lt;&gt;""))),"Ready","Not ready"))</f>
        <v/>
      </c>
      <c r="U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>
        <f>IF(A87="","",COUNTIF('2 Tables'!$E$5:$E$204,"*"&amp;A87&amp;"*"))</f>
        <v/>
      </c>
      <c r="R87" s="10">
        <f>IF(A87="","",COUNTIF('3 Fields'!$H$5:$H$204,A87))</f>
        <v/>
      </c>
      <c r="S87" s="10">
        <f>IF(A87="","",COUNTIF('4 Extractions'!$E$5:$E$204,A87))</f>
        <v/>
      </c>
      <c r="T87" s="10">
        <f>IF(A87="","",IF(AND(F87&lt;&gt;"",G87&lt;&gt;"",H87&lt;&gt;"",I87&lt;&gt;"",N87&lt;&gt;"",O87&lt;&gt;"",P87&lt;&gt;"",OR(I87="Tracked today",I87="Can be tracked now",AND(K87&lt;&gt;"",L87&lt;&gt;""))),"Ready","Not ready"))</f>
        <v/>
      </c>
      <c r="U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>
        <f>IF(A88="","",COUNTIF('2 Tables'!$E$5:$E$204,"*"&amp;A88&amp;"*"))</f>
        <v/>
      </c>
      <c r="R88" s="10">
        <f>IF(A88="","",COUNTIF('3 Fields'!$H$5:$H$204,A88))</f>
        <v/>
      </c>
      <c r="S88" s="10">
        <f>IF(A88="","",COUNTIF('4 Extractions'!$E$5:$E$204,A88))</f>
        <v/>
      </c>
      <c r="T88" s="10">
        <f>IF(A88="","",IF(AND(F88&lt;&gt;"",G88&lt;&gt;"",H88&lt;&gt;"",I88&lt;&gt;"",N88&lt;&gt;"",O88&lt;&gt;"",P88&lt;&gt;"",OR(I88="Tracked today",I88="Can be tracked now",AND(K88&lt;&gt;"",L88&lt;&gt;""))),"Ready","Not ready"))</f>
        <v/>
      </c>
      <c r="U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>
        <f>IF(A89="","",COUNTIF('2 Tables'!$E$5:$E$204,"*"&amp;A89&amp;"*"))</f>
        <v/>
      </c>
      <c r="R89" s="10">
        <f>IF(A89="","",COUNTIF('3 Fields'!$H$5:$H$204,A89))</f>
        <v/>
      </c>
      <c r="S89" s="10">
        <f>IF(A89="","",COUNTIF('4 Extractions'!$E$5:$E$204,A89))</f>
        <v/>
      </c>
      <c r="T89" s="10">
        <f>IF(A89="","",IF(AND(F89&lt;&gt;"",G89&lt;&gt;"",H89&lt;&gt;"",I89&lt;&gt;"",N89&lt;&gt;"",O89&lt;&gt;"",P89&lt;&gt;"",OR(I89="Tracked today",I89="Can be tracked now",AND(K89&lt;&gt;"",L89&lt;&gt;""))),"Ready","Not ready"))</f>
        <v/>
      </c>
      <c r="U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>
        <f>IF(A90="","",COUNTIF('2 Tables'!$E$5:$E$204,"*"&amp;A90&amp;"*"))</f>
        <v/>
      </c>
      <c r="R90" s="10">
        <f>IF(A90="","",COUNTIF('3 Fields'!$H$5:$H$204,A90))</f>
        <v/>
      </c>
      <c r="S90" s="10">
        <f>IF(A90="","",COUNTIF('4 Extractions'!$E$5:$E$204,A90))</f>
        <v/>
      </c>
      <c r="T90" s="10">
        <f>IF(A90="","",IF(AND(F90&lt;&gt;"",G90&lt;&gt;"",H90&lt;&gt;"",I90&lt;&gt;"",N90&lt;&gt;"",O90&lt;&gt;"",P90&lt;&gt;"",OR(I90="Tracked today",I90="Can be tracked now",AND(K90&lt;&gt;"",L90&lt;&gt;""))),"Ready","Not ready"))</f>
        <v/>
      </c>
      <c r="U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>
        <f>IF(A91="","",COUNTIF('2 Tables'!$E$5:$E$204,"*"&amp;A91&amp;"*"))</f>
        <v/>
      </c>
      <c r="R91" s="10">
        <f>IF(A91="","",COUNTIF('3 Fields'!$H$5:$H$204,A91))</f>
        <v/>
      </c>
      <c r="S91" s="10">
        <f>IF(A91="","",COUNTIF('4 Extractions'!$E$5:$E$204,A91))</f>
        <v/>
      </c>
      <c r="T91" s="10">
        <f>IF(A91="","",IF(AND(F91&lt;&gt;"",G91&lt;&gt;"",H91&lt;&gt;"",I91&lt;&gt;"",N91&lt;&gt;"",O91&lt;&gt;"",P91&lt;&gt;"",OR(I91="Tracked today",I91="Can be tracked now",AND(K91&lt;&gt;"",L91&lt;&gt;""))),"Ready","Not ready"))</f>
        <v/>
      </c>
      <c r="U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>
        <f>IF(A92="","",COUNTIF('2 Tables'!$E$5:$E$204,"*"&amp;A92&amp;"*"))</f>
        <v/>
      </c>
      <c r="R92" s="10">
        <f>IF(A92="","",COUNTIF('3 Fields'!$H$5:$H$204,A92))</f>
        <v/>
      </c>
      <c r="S92" s="10">
        <f>IF(A92="","",COUNTIF('4 Extractions'!$E$5:$E$204,A92))</f>
        <v/>
      </c>
      <c r="T92" s="10">
        <f>IF(A92="","",IF(AND(F92&lt;&gt;"",G92&lt;&gt;"",H92&lt;&gt;"",I92&lt;&gt;"",N92&lt;&gt;"",O92&lt;&gt;"",P92&lt;&gt;"",OR(I92="Tracked today",I92="Can be tracked now",AND(K92&lt;&gt;"",L92&lt;&gt;""))),"Ready","Not ready"))</f>
        <v/>
      </c>
      <c r="U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>
        <f>IF(A93="","",COUNTIF('2 Tables'!$E$5:$E$204,"*"&amp;A93&amp;"*"))</f>
        <v/>
      </c>
      <c r="R93" s="10">
        <f>IF(A93="","",COUNTIF('3 Fields'!$H$5:$H$204,A93))</f>
        <v/>
      </c>
      <c r="S93" s="10">
        <f>IF(A93="","",COUNTIF('4 Extractions'!$E$5:$E$204,A93))</f>
        <v/>
      </c>
      <c r="T93" s="10">
        <f>IF(A93="","",IF(AND(F93&lt;&gt;"",G93&lt;&gt;"",H93&lt;&gt;"",I93&lt;&gt;"",N93&lt;&gt;"",O93&lt;&gt;"",P93&lt;&gt;"",OR(I93="Tracked today",I93="Can be tracked now",AND(K93&lt;&gt;"",L93&lt;&gt;""))),"Ready","Not ready"))</f>
        <v/>
      </c>
      <c r="U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>
        <f>IF(A94="","",COUNTIF('2 Tables'!$E$5:$E$204,"*"&amp;A94&amp;"*"))</f>
        <v/>
      </c>
      <c r="R94" s="10">
        <f>IF(A94="","",COUNTIF('3 Fields'!$H$5:$H$204,A94))</f>
        <v/>
      </c>
      <c r="S94" s="10">
        <f>IF(A94="","",COUNTIF('4 Extractions'!$E$5:$E$204,A94))</f>
        <v/>
      </c>
      <c r="T94" s="10">
        <f>IF(A94="","",IF(AND(F94&lt;&gt;"",G94&lt;&gt;"",H94&lt;&gt;"",I94&lt;&gt;"",N94&lt;&gt;"",O94&lt;&gt;"",P94&lt;&gt;"",OR(I94="Tracked today",I94="Can be tracked now",AND(K94&lt;&gt;"",L94&lt;&gt;""))),"Ready","Not ready"))</f>
        <v/>
      </c>
      <c r="U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>
        <f>IF(A95="","",COUNTIF('2 Tables'!$E$5:$E$204,"*"&amp;A95&amp;"*"))</f>
        <v/>
      </c>
      <c r="R95" s="10">
        <f>IF(A95="","",COUNTIF('3 Fields'!$H$5:$H$204,A95))</f>
        <v/>
      </c>
      <c r="S95" s="10">
        <f>IF(A95="","",COUNTIF('4 Extractions'!$E$5:$E$204,A95))</f>
        <v/>
      </c>
      <c r="T95" s="10">
        <f>IF(A95="","",IF(AND(F95&lt;&gt;"",G95&lt;&gt;"",H95&lt;&gt;"",I95&lt;&gt;"",N95&lt;&gt;"",O95&lt;&gt;"",P95&lt;&gt;"",OR(I95="Tracked today",I95="Can be tracked now",AND(K95&lt;&gt;"",L95&lt;&gt;""))),"Ready","Not ready"))</f>
        <v/>
      </c>
      <c r="U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>
        <f>IF(A96="","",COUNTIF('2 Tables'!$E$5:$E$204,"*"&amp;A96&amp;"*"))</f>
        <v/>
      </c>
      <c r="R96" s="10">
        <f>IF(A96="","",COUNTIF('3 Fields'!$H$5:$H$204,A96))</f>
        <v/>
      </c>
      <c r="S96" s="10">
        <f>IF(A96="","",COUNTIF('4 Extractions'!$E$5:$E$204,A96))</f>
        <v/>
      </c>
      <c r="T96" s="10">
        <f>IF(A96="","",IF(AND(F96&lt;&gt;"",G96&lt;&gt;"",H96&lt;&gt;"",I96&lt;&gt;"",N96&lt;&gt;"",O96&lt;&gt;"",P96&lt;&gt;"",OR(I96="Tracked today",I96="Can be tracked now",AND(K96&lt;&gt;"",L96&lt;&gt;""))),"Ready","Not ready"))</f>
        <v/>
      </c>
      <c r="U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>
        <f>IF(A97="","",COUNTIF('2 Tables'!$E$5:$E$204,"*"&amp;A97&amp;"*"))</f>
        <v/>
      </c>
      <c r="R97" s="10">
        <f>IF(A97="","",COUNTIF('3 Fields'!$H$5:$H$204,A97))</f>
        <v/>
      </c>
      <c r="S97" s="10">
        <f>IF(A97="","",COUNTIF('4 Extractions'!$E$5:$E$204,A97))</f>
        <v/>
      </c>
      <c r="T97" s="10">
        <f>IF(A97="","",IF(AND(F97&lt;&gt;"",G97&lt;&gt;"",H97&lt;&gt;"",I97&lt;&gt;"",N97&lt;&gt;"",O97&lt;&gt;"",P97&lt;&gt;"",OR(I97="Tracked today",I97="Can be tracked now",AND(K97&lt;&gt;"",L97&lt;&gt;""))),"Ready","Not ready"))</f>
        <v/>
      </c>
      <c r="U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>
        <f>IF(A98="","",COUNTIF('2 Tables'!$E$5:$E$204,"*"&amp;A98&amp;"*"))</f>
        <v/>
      </c>
      <c r="R98" s="10">
        <f>IF(A98="","",COUNTIF('3 Fields'!$H$5:$H$204,A98))</f>
        <v/>
      </c>
      <c r="S98" s="10">
        <f>IF(A98="","",COUNTIF('4 Extractions'!$E$5:$E$204,A98))</f>
        <v/>
      </c>
      <c r="T98" s="10">
        <f>IF(A98="","",IF(AND(F98&lt;&gt;"",G98&lt;&gt;"",H98&lt;&gt;"",I98&lt;&gt;"",N98&lt;&gt;"",O98&lt;&gt;"",P98&lt;&gt;"",OR(I98="Tracked today",I98="Can be tracked now",AND(K98&lt;&gt;"",L98&lt;&gt;""))),"Ready","Not ready"))</f>
        <v/>
      </c>
      <c r="U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>
        <f>IF(A99="","",COUNTIF('2 Tables'!$E$5:$E$204,"*"&amp;A99&amp;"*"))</f>
        <v/>
      </c>
      <c r="R99" s="10">
        <f>IF(A99="","",COUNTIF('3 Fields'!$H$5:$H$204,A99))</f>
        <v/>
      </c>
      <c r="S99" s="10">
        <f>IF(A99="","",COUNTIF('4 Extractions'!$E$5:$E$204,A99))</f>
        <v/>
      </c>
      <c r="T99" s="10">
        <f>IF(A99="","",IF(AND(F99&lt;&gt;"",G99&lt;&gt;"",H99&lt;&gt;"",I99&lt;&gt;"",N99&lt;&gt;"",O99&lt;&gt;"",P99&lt;&gt;"",OR(I99="Tracked today",I99="Can be tracked now",AND(K99&lt;&gt;"",L99&lt;&gt;""))),"Ready","Not ready"))</f>
        <v/>
      </c>
      <c r="U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>
        <f>IF(A100="","",COUNTIF('2 Tables'!$E$5:$E$204,"*"&amp;A100&amp;"*"))</f>
        <v/>
      </c>
      <c r="R100" s="10">
        <f>IF(A100="","",COUNTIF('3 Fields'!$H$5:$H$204,A100))</f>
        <v/>
      </c>
      <c r="S100" s="10">
        <f>IF(A100="","",COUNTIF('4 Extractions'!$E$5:$E$204,A100))</f>
        <v/>
      </c>
      <c r="T100" s="10">
        <f>IF(A100="","",IF(AND(F100&lt;&gt;"",G100&lt;&gt;"",H100&lt;&gt;"",I100&lt;&gt;"",N100&lt;&gt;"",O100&lt;&gt;"",P100&lt;&gt;"",OR(I100="Tracked today",I100="Can be tracked now",AND(K100&lt;&gt;"",L100&lt;&gt;""))),"Ready","Not ready"))</f>
        <v/>
      </c>
      <c r="U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>
        <f>IF(A101="","",COUNTIF('2 Tables'!$E$5:$E$204,"*"&amp;A101&amp;"*"))</f>
        <v/>
      </c>
      <c r="R101" s="10">
        <f>IF(A101="","",COUNTIF('3 Fields'!$H$5:$H$204,A101))</f>
        <v/>
      </c>
      <c r="S101" s="10">
        <f>IF(A101="","",COUNTIF('4 Extractions'!$E$5:$E$204,A101))</f>
        <v/>
      </c>
      <c r="T101" s="10">
        <f>IF(A101="","",IF(AND(F101&lt;&gt;"",G101&lt;&gt;"",H101&lt;&gt;"",I101&lt;&gt;"",N101&lt;&gt;"",O101&lt;&gt;"",P101&lt;&gt;"",OR(I101="Tracked today",I101="Can be tracked now",AND(K101&lt;&gt;"",L101&lt;&gt;""))),"Ready","Not ready"))</f>
        <v/>
      </c>
      <c r="U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>
        <f>IF(A102="","",COUNTIF('2 Tables'!$E$5:$E$204,"*"&amp;A102&amp;"*"))</f>
        <v/>
      </c>
      <c r="R102" s="10">
        <f>IF(A102="","",COUNTIF('3 Fields'!$H$5:$H$204,A102))</f>
        <v/>
      </c>
      <c r="S102" s="10">
        <f>IF(A102="","",COUNTIF('4 Extractions'!$E$5:$E$204,A102))</f>
        <v/>
      </c>
      <c r="T102" s="10">
        <f>IF(A102="","",IF(AND(F102&lt;&gt;"",G102&lt;&gt;"",H102&lt;&gt;"",I102&lt;&gt;"",N102&lt;&gt;"",O102&lt;&gt;"",P102&lt;&gt;"",OR(I102="Tracked today",I102="Can be tracked now",AND(K102&lt;&gt;"",L102&lt;&gt;""))),"Ready","Not ready"))</f>
        <v/>
      </c>
      <c r="U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>
        <f>IF(A103="","",COUNTIF('2 Tables'!$E$5:$E$204,"*"&amp;A103&amp;"*"))</f>
        <v/>
      </c>
      <c r="R103" s="10">
        <f>IF(A103="","",COUNTIF('3 Fields'!$H$5:$H$204,A103))</f>
        <v/>
      </c>
      <c r="S103" s="10">
        <f>IF(A103="","",COUNTIF('4 Extractions'!$E$5:$E$204,A103))</f>
        <v/>
      </c>
      <c r="T103" s="10">
        <f>IF(A103="","",IF(AND(F103&lt;&gt;"",G103&lt;&gt;"",H103&lt;&gt;"",I103&lt;&gt;"",N103&lt;&gt;"",O103&lt;&gt;"",P103&lt;&gt;"",OR(I103="Tracked today",I103="Can be tracked now",AND(K103&lt;&gt;"",L103&lt;&gt;""))),"Ready","Not ready"))</f>
        <v/>
      </c>
      <c r="U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>
        <f>IF(A104="","",COUNTIF('2 Tables'!$E$5:$E$204,"*"&amp;A104&amp;"*"))</f>
        <v/>
      </c>
      <c r="R104" s="10">
        <f>IF(A104="","",COUNTIF('3 Fields'!$H$5:$H$204,A104))</f>
        <v/>
      </c>
      <c r="S104" s="10">
        <f>IF(A104="","",COUNTIF('4 Extractions'!$E$5:$E$204,A104))</f>
        <v/>
      </c>
      <c r="T104" s="10">
        <f>IF(A104="","",IF(AND(F104&lt;&gt;"",G104&lt;&gt;"",H104&lt;&gt;"",I104&lt;&gt;"",N104&lt;&gt;"",O104&lt;&gt;"",P104&lt;&gt;"",OR(I104="Tracked today",I104="Can be tracked now",AND(K104&lt;&gt;"",L104&lt;&gt;""))),"Ready","Not ready"))</f>
        <v/>
      </c>
      <c r="U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>
        <f>IF(A105="","",COUNTIF('2 Tables'!$E$5:$E$204,"*"&amp;A105&amp;"*"))</f>
        <v/>
      </c>
      <c r="R105" s="10">
        <f>IF(A105="","",COUNTIF('3 Fields'!$H$5:$H$204,A105))</f>
        <v/>
      </c>
      <c r="S105" s="10">
        <f>IF(A105="","",COUNTIF('4 Extractions'!$E$5:$E$204,A105))</f>
        <v/>
      </c>
      <c r="T105" s="10">
        <f>IF(A105="","",IF(AND(F105&lt;&gt;"",G105&lt;&gt;"",H105&lt;&gt;"",I105&lt;&gt;"",N105&lt;&gt;"",O105&lt;&gt;"",P105&lt;&gt;"",OR(I105="Tracked today",I105="Can be tracked now",AND(K105&lt;&gt;"",L105&lt;&gt;""))),"Ready","Not ready"))</f>
        <v/>
      </c>
      <c r="U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>
        <f>IF(A106="","",COUNTIF('2 Tables'!$E$5:$E$204,"*"&amp;A106&amp;"*"))</f>
        <v/>
      </c>
      <c r="R106" s="10">
        <f>IF(A106="","",COUNTIF('3 Fields'!$H$5:$H$204,A106))</f>
        <v/>
      </c>
      <c r="S106" s="10">
        <f>IF(A106="","",COUNTIF('4 Extractions'!$E$5:$E$204,A106))</f>
        <v/>
      </c>
      <c r="T106" s="10">
        <f>IF(A106="","",IF(AND(F106&lt;&gt;"",G106&lt;&gt;"",H106&lt;&gt;"",I106&lt;&gt;"",N106&lt;&gt;"",O106&lt;&gt;"",P106&lt;&gt;"",OR(I106="Tracked today",I106="Can be tracked now",AND(K106&lt;&gt;"",L106&lt;&gt;""))),"Ready","Not ready"))</f>
        <v/>
      </c>
      <c r="U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>
        <f>IF(A107="","",COUNTIF('2 Tables'!$E$5:$E$204,"*"&amp;A107&amp;"*"))</f>
        <v/>
      </c>
      <c r="R107" s="10">
        <f>IF(A107="","",COUNTIF('3 Fields'!$H$5:$H$204,A107))</f>
        <v/>
      </c>
      <c r="S107" s="10">
        <f>IF(A107="","",COUNTIF('4 Extractions'!$E$5:$E$204,A107))</f>
        <v/>
      </c>
      <c r="T107" s="10">
        <f>IF(A107="","",IF(AND(F107&lt;&gt;"",G107&lt;&gt;"",H107&lt;&gt;"",I107&lt;&gt;"",N107&lt;&gt;"",O107&lt;&gt;"",P107&lt;&gt;"",OR(I107="Tracked today",I107="Can be tracked now",AND(K107&lt;&gt;"",L107&lt;&gt;""))),"Ready","Not ready"))</f>
        <v/>
      </c>
      <c r="U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>
        <f>IF(A108="","",COUNTIF('2 Tables'!$E$5:$E$204,"*"&amp;A108&amp;"*"))</f>
        <v/>
      </c>
      <c r="R108" s="10">
        <f>IF(A108="","",COUNTIF('3 Fields'!$H$5:$H$204,A108))</f>
        <v/>
      </c>
      <c r="S108" s="10">
        <f>IF(A108="","",COUNTIF('4 Extractions'!$E$5:$E$204,A108))</f>
        <v/>
      </c>
      <c r="T108" s="10">
        <f>IF(A108="","",IF(AND(F108&lt;&gt;"",G108&lt;&gt;"",H108&lt;&gt;"",I108&lt;&gt;"",N108&lt;&gt;"",O108&lt;&gt;"",P108&lt;&gt;"",OR(I108="Tracked today",I108="Can be tracked now",AND(K108&lt;&gt;"",L108&lt;&gt;""))),"Ready","Not ready"))</f>
        <v/>
      </c>
      <c r="U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>
        <f>IF(A109="","",COUNTIF('2 Tables'!$E$5:$E$204,"*"&amp;A109&amp;"*"))</f>
        <v/>
      </c>
      <c r="R109" s="10">
        <f>IF(A109="","",COUNTIF('3 Fields'!$H$5:$H$204,A109))</f>
        <v/>
      </c>
      <c r="S109" s="10">
        <f>IF(A109="","",COUNTIF('4 Extractions'!$E$5:$E$204,A109))</f>
        <v/>
      </c>
      <c r="T109" s="10">
        <f>IF(A109="","",IF(AND(F109&lt;&gt;"",G109&lt;&gt;"",H109&lt;&gt;"",I109&lt;&gt;"",N109&lt;&gt;"",O109&lt;&gt;"",P109&lt;&gt;"",OR(I109="Tracked today",I109="Can be tracked now",AND(K109&lt;&gt;"",L109&lt;&gt;""))),"Ready","Not ready"))</f>
        <v/>
      </c>
      <c r="U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>
        <f>IF(A110="","",COUNTIF('2 Tables'!$E$5:$E$204,"*"&amp;A110&amp;"*"))</f>
        <v/>
      </c>
      <c r="R110" s="10">
        <f>IF(A110="","",COUNTIF('3 Fields'!$H$5:$H$204,A110))</f>
        <v/>
      </c>
      <c r="S110" s="10">
        <f>IF(A110="","",COUNTIF('4 Extractions'!$E$5:$E$204,A110))</f>
        <v/>
      </c>
      <c r="T110" s="10">
        <f>IF(A110="","",IF(AND(F110&lt;&gt;"",G110&lt;&gt;"",H110&lt;&gt;"",I110&lt;&gt;"",N110&lt;&gt;"",O110&lt;&gt;"",P110&lt;&gt;"",OR(I110="Tracked today",I110="Can be tracked now",AND(K110&lt;&gt;"",L110&lt;&gt;""))),"Ready","Not ready"))</f>
        <v/>
      </c>
      <c r="U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>
        <f>IF(A111="","",COUNTIF('2 Tables'!$E$5:$E$204,"*"&amp;A111&amp;"*"))</f>
        <v/>
      </c>
      <c r="R111" s="10">
        <f>IF(A111="","",COUNTIF('3 Fields'!$H$5:$H$204,A111))</f>
        <v/>
      </c>
      <c r="S111" s="10">
        <f>IF(A111="","",COUNTIF('4 Extractions'!$E$5:$E$204,A111))</f>
        <v/>
      </c>
      <c r="T111" s="10">
        <f>IF(A111="","",IF(AND(F111&lt;&gt;"",G111&lt;&gt;"",H111&lt;&gt;"",I111&lt;&gt;"",N111&lt;&gt;"",O111&lt;&gt;"",P111&lt;&gt;"",OR(I111="Tracked today",I111="Can be tracked now",AND(K111&lt;&gt;"",L111&lt;&gt;""))),"Ready","Not ready"))</f>
        <v/>
      </c>
      <c r="U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>
        <f>IF(A112="","",COUNTIF('2 Tables'!$E$5:$E$204,"*"&amp;A112&amp;"*"))</f>
        <v/>
      </c>
      <c r="R112" s="10">
        <f>IF(A112="","",COUNTIF('3 Fields'!$H$5:$H$204,A112))</f>
        <v/>
      </c>
      <c r="S112" s="10">
        <f>IF(A112="","",COUNTIF('4 Extractions'!$E$5:$E$204,A112))</f>
        <v/>
      </c>
      <c r="T112" s="10">
        <f>IF(A112="","",IF(AND(F112&lt;&gt;"",G112&lt;&gt;"",H112&lt;&gt;"",I112&lt;&gt;"",N112&lt;&gt;"",O112&lt;&gt;"",P112&lt;&gt;"",OR(I112="Tracked today",I112="Can be tracked now",AND(K112&lt;&gt;"",L112&lt;&gt;""))),"Ready","Not ready"))</f>
        <v/>
      </c>
      <c r="U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>
        <f>IF(A113="","",COUNTIF('2 Tables'!$E$5:$E$204,"*"&amp;A113&amp;"*"))</f>
        <v/>
      </c>
      <c r="R113" s="10">
        <f>IF(A113="","",COUNTIF('3 Fields'!$H$5:$H$204,A113))</f>
        <v/>
      </c>
      <c r="S113" s="10">
        <f>IF(A113="","",COUNTIF('4 Extractions'!$E$5:$E$204,A113))</f>
        <v/>
      </c>
      <c r="T113" s="10">
        <f>IF(A113="","",IF(AND(F113&lt;&gt;"",G113&lt;&gt;"",H113&lt;&gt;"",I113&lt;&gt;"",N113&lt;&gt;"",O113&lt;&gt;"",P113&lt;&gt;"",OR(I113="Tracked today",I113="Can be tracked now",AND(K113&lt;&gt;"",L113&lt;&gt;""))),"Ready","Not ready"))</f>
        <v/>
      </c>
      <c r="U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>
        <f>IF(A114="","",COUNTIF('2 Tables'!$E$5:$E$204,"*"&amp;A114&amp;"*"))</f>
        <v/>
      </c>
      <c r="R114" s="10">
        <f>IF(A114="","",COUNTIF('3 Fields'!$H$5:$H$204,A114))</f>
        <v/>
      </c>
      <c r="S114" s="10">
        <f>IF(A114="","",COUNTIF('4 Extractions'!$E$5:$E$204,A114))</f>
        <v/>
      </c>
      <c r="T114" s="10">
        <f>IF(A114="","",IF(AND(F114&lt;&gt;"",G114&lt;&gt;"",H114&lt;&gt;"",I114&lt;&gt;"",N114&lt;&gt;"",O114&lt;&gt;"",P114&lt;&gt;"",OR(I114="Tracked today",I114="Can be tracked now",AND(K114&lt;&gt;"",L114&lt;&gt;""))),"Ready","Not ready"))</f>
        <v/>
      </c>
      <c r="U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>
        <f>IF(A115="","",COUNTIF('2 Tables'!$E$5:$E$204,"*"&amp;A115&amp;"*"))</f>
        <v/>
      </c>
      <c r="R115" s="10">
        <f>IF(A115="","",COUNTIF('3 Fields'!$H$5:$H$204,A115))</f>
        <v/>
      </c>
      <c r="S115" s="10">
        <f>IF(A115="","",COUNTIF('4 Extractions'!$E$5:$E$204,A115))</f>
        <v/>
      </c>
      <c r="T115" s="10">
        <f>IF(A115="","",IF(AND(F115&lt;&gt;"",G115&lt;&gt;"",H115&lt;&gt;"",I115&lt;&gt;"",N115&lt;&gt;"",O115&lt;&gt;"",P115&lt;&gt;"",OR(I115="Tracked today",I115="Can be tracked now",AND(K115&lt;&gt;"",L115&lt;&gt;""))),"Ready","Not ready"))</f>
        <v/>
      </c>
      <c r="U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>
        <f>IF(A116="","",COUNTIF('2 Tables'!$E$5:$E$204,"*"&amp;A116&amp;"*"))</f>
        <v/>
      </c>
      <c r="R116" s="10">
        <f>IF(A116="","",COUNTIF('3 Fields'!$H$5:$H$204,A116))</f>
        <v/>
      </c>
      <c r="S116" s="10">
        <f>IF(A116="","",COUNTIF('4 Extractions'!$E$5:$E$204,A116))</f>
        <v/>
      </c>
      <c r="T116" s="10">
        <f>IF(A116="","",IF(AND(F116&lt;&gt;"",G116&lt;&gt;"",H116&lt;&gt;"",I116&lt;&gt;"",N116&lt;&gt;"",O116&lt;&gt;"",P116&lt;&gt;"",OR(I116="Tracked today",I116="Can be tracked now",AND(K116&lt;&gt;"",L116&lt;&gt;""))),"Ready","Not ready"))</f>
        <v/>
      </c>
      <c r="U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>
        <f>IF(A117="","",COUNTIF('2 Tables'!$E$5:$E$204,"*"&amp;A117&amp;"*"))</f>
        <v/>
      </c>
      <c r="R117" s="10">
        <f>IF(A117="","",COUNTIF('3 Fields'!$H$5:$H$204,A117))</f>
        <v/>
      </c>
      <c r="S117" s="10">
        <f>IF(A117="","",COUNTIF('4 Extractions'!$E$5:$E$204,A117))</f>
        <v/>
      </c>
      <c r="T117" s="10">
        <f>IF(A117="","",IF(AND(F117&lt;&gt;"",G117&lt;&gt;"",H117&lt;&gt;"",I117&lt;&gt;"",N117&lt;&gt;"",O117&lt;&gt;"",P117&lt;&gt;"",OR(I117="Tracked today",I117="Can be tracked now",AND(K117&lt;&gt;"",L117&lt;&gt;""))),"Ready","Not ready"))</f>
        <v/>
      </c>
      <c r="U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>
        <f>IF(A118="","",COUNTIF('2 Tables'!$E$5:$E$204,"*"&amp;A118&amp;"*"))</f>
        <v/>
      </c>
      <c r="R118" s="10">
        <f>IF(A118="","",COUNTIF('3 Fields'!$H$5:$H$204,A118))</f>
        <v/>
      </c>
      <c r="S118" s="10">
        <f>IF(A118="","",COUNTIF('4 Extractions'!$E$5:$E$204,A118))</f>
        <v/>
      </c>
      <c r="T118" s="10">
        <f>IF(A118="","",IF(AND(F118&lt;&gt;"",G118&lt;&gt;"",H118&lt;&gt;"",I118&lt;&gt;"",N118&lt;&gt;"",O118&lt;&gt;"",P118&lt;&gt;"",OR(I118="Tracked today",I118="Can be tracked now",AND(K118&lt;&gt;"",L118&lt;&gt;""))),"Ready","Not ready"))</f>
        <v/>
      </c>
      <c r="U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>
        <f>IF(A119="","",COUNTIF('2 Tables'!$E$5:$E$204,"*"&amp;A119&amp;"*"))</f>
        <v/>
      </c>
      <c r="R119" s="10">
        <f>IF(A119="","",COUNTIF('3 Fields'!$H$5:$H$204,A119))</f>
        <v/>
      </c>
      <c r="S119" s="10">
        <f>IF(A119="","",COUNTIF('4 Extractions'!$E$5:$E$204,A119))</f>
        <v/>
      </c>
      <c r="T119" s="10">
        <f>IF(A119="","",IF(AND(F119&lt;&gt;"",G119&lt;&gt;"",H119&lt;&gt;"",I119&lt;&gt;"",N119&lt;&gt;"",O119&lt;&gt;"",P119&lt;&gt;"",OR(I119="Tracked today",I119="Can be tracked now",AND(K119&lt;&gt;"",L119&lt;&gt;""))),"Ready","Not ready"))</f>
        <v/>
      </c>
      <c r="U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>
        <f>IF(A120="","",COUNTIF('2 Tables'!$E$5:$E$204,"*"&amp;A120&amp;"*"))</f>
        <v/>
      </c>
      <c r="R120" s="10">
        <f>IF(A120="","",COUNTIF('3 Fields'!$H$5:$H$204,A120))</f>
        <v/>
      </c>
      <c r="S120" s="10">
        <f>IF(A120="","",COUNTIF('4 Extractions'!$E$5:$E$204,A120))</f>
        <v/>
      </c>
      <c r="T120" s="10">
        <f>IF(A120="","",IF(AND(F120&lt;&gt;"",G120&lt;&gt;"",H120&lt;&gt;"",I120&lt;&gt;"",N120&lt;&gt;"",O120&lt;&gt;"",P120&lt;&gt;"",OR(I120="Tracked today",I120="Can be tracked now",AND(K120&lt;&gt;"",L120&lt;&gt;""))),"Ready","Not ready"))</f>
        <v/>
      </c>
      <c r="U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>
        <f>IF(A121="","",COUNTIF('2 Tables'!$E$5:$E$204,"*"&amp;A121&amp;"*"))</f>
        <v/>
      </c>
      <c r="R121" s="10">
        <f>IF(A121="","",COUNTIF('3 Fields'!$H$5:$H$204,A121))</f>
        <v/>
      </c>
      <c r="S121" s="10">
        <f>IF(A121="","",COUNTIF('4 Extractions'!$E$5:$E$204,A121))</f>
        <v/>
      </c>
      <c r="T121" s="10">
        <f>IF(A121="","",IF(AND(F121&lt;&gt;"",G121&lt;&gt;"",H121&lt;&gt;"",I121&lt;&gt;"",N121&lt;&gt;"",O121&lt;&gt;"",P121&lt;&gt;"",OR(I121="Tracked today",I121="Can be tracked now",AND(K121&lt;&gt;"",L121&lt;&gt;""))),"Ready","Not ready"))</f>
        <v/>
      </c>
      <c r="U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>
        <f>IF(A122="","",COUNTIF('2 Tables'!$E$5:$E$204,"*"&amp;A122&amp;"*"))</f>
        <v/>
      </c>
      <c r="R122" s="10">
        <f>IF(A122="","",COUNTIF('3 Fields'!$H$5:$H$204,A122))</f>
        <v/>
      </c>
      <c r="S122" s="10">
        <f>IF(A122="","",COUNTIF('4 Extractions'!$E$5:$E$204,A122))</f>
        <v/>
      </c>
      <c r="T122" s="10">
        <f>IF(A122="","",IF(AND(F122&lt;&gt;"",G122&lt;&gt;"",H122&lt;&gt;"",I122&lt;&gt;"",N122&lt;&gt;"",O122&lt;&gt;"",P122&lt;&gt;"",OR(I122="Tracked today",I122="Can be tracked now",AND(K122&lt;&gt;"",L122&lt;&gt;""))),"Ready","Not ready"))</f>
        <v/>
      </c>
      <c r="U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>
        <f>IF(A123="","",COUNTIF('2 Tables'!$E$5:$E$204,"*"&amp;A123&amp;"*"))</f>
        <v/>
      </c>
      <c r="R123" s="10">
        <f>IF(A123="","",COUNTIF('3 Fields'!$H$5:$H$204,A123))</f>
        <v/>
      </c>
      <c r="S123" s="10">
        <f>IF(A123="","",COUNTIF('4 Extractions'!$E$5:$E$204,A123))</f>
        <v/>
      </c>
      <c r="T123" s="10">
        <f>IF(A123="","",IF(AND(F123&lt;&gt;"",G123&lt;&gt;"",H123&lt;&gt;"",I123&lt;&gt;"",N123&lt;&gt;"",O123&lt;&gt;"",P123&lt;&gt;"",OR(I123="Tracked today",I123="Can be tracked now",AND(K123&lt;&gt;"",L123&lt;&gt;""))),"Ready","Not ready"))</f>
        <v/>
      </c>
      <c r="U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>
        <f>IF(A124="","",COUNTIF('2 Tables'!$E$5:$E$204,"*"&amp;A124&amp;"*"))</f>
        <v/>
      </c>
      <c r="R124" s="10">
        <f>IF(A124="","",COUNTIF('3 Fields'!$H$5:$H$204,A124))</f>
        <v/>
      </c>
      <c r="S124" s="10">
        <f>IF(A124="","",COUNTIF('4 Extractions'!$E$5:$E$204,A124))</f>
        <v/>
      </c>
      <c r="T124" s="10">
        <f>IF(A124="","",IF(AND(F124&lt;&gt;"",G124&lt;&gt;"",H124&lt;&gt;"",I124&lt;&gt;"",N124&lt;&gt;"",O124&lt;&gt;"",P124&lt;&gt;"",OR(I124="Tracked today",I124="Can be tracked now",AND(K124&lt;&gt;"",L124&lt;&gt;""))),"Ready","Not ready"))</f>
        <v/>
      </c>
      <c r="U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>
        <f>IF(A125="","",COUNTIF('2 Tables'!$E$5:$E$204,"*"&amp;A125&amp;"*"))</f>
        <v/>
      </c>
      <c r="R125" s="10">
        <f>IF(A125="","",COUNTIF('3 Fields'!$H$5:$H$204,A125))</f>
        <v/>
      </c>
      <c r="S125" s="10">
        <f>IF(A125="","",COUNTIF('4 Extractions'!$E$5:$E$204,A125))</f>
        <v/>
      </c>
      <c r="T125" s="10">
        <f>IF(A125="","",IF(AND(F125&lt;&gt;"",G125&lt;&gt;"",H125&lt;&gt;"",I125&lt;&gt;"",N125&lt;&gt;"",O125&lt;&gt;"",P125&lt;&gt;"",OR(I125="Tracked today",I125="Can be tracked now",AND(K125&lt;&gt;"",L125&lt;&gt;""))),"Ready","Not ready"))</f>
        <v/>
      </c>
      <c r="U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>
        <f>IF(A126="","",COUNTIF('2 Tables'!$E$5:$E$204,"*"&amp;A126&amp;"*"))</f>
        <v/>
      </c>
      <c r="R126" s="10">
        <f>IF(A126="","",COUNTIF('3 Fields'!$H$5:$H$204,A126))</f>
        <v/>
      </c>
      <c r="S126" s="10">
        <f>IF(A126="","",COUNTIF('4 Extractions'!$E$5:$E$204,A126))</f>
        <v/>
      </c>
      <c r="T126" s="10">
        <f>IF(A126="","",IF(AND(F126&lt;&gt;"",G126&lt;&gt;"",H126&lt;&gt;"",I126&lt;&gt;"",N126&lt;&gt;"",O126&lt;&gt;"",P126&lt;&gt;"",OR(I126="Tracked today",I126="Can be tracked now",AND(K126&lt;&gt;"",L126&lt;&gt;""))),"Ready","Not ready"))</f>
        <v/>
      </c>
      <c r="U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>
        <f>IF(A127="","",COUNTIF('2 Tables'!$E$5:$E$204,"*"&amp;A127&amp;"*"))</f>
        <v/>
      </c>
      <c r="R127" s="10">
        <f>IF(A127="","",COUNTIF('3 Fields'!$H$5:$H$204,A127))</f>
        <v/>
      </c>
      <c r="S127" s="10">
        <f>IF(A127="","",COUNTIF('4 Extractions'!$E$5:$E$204,A127))</f>
        <v/>
      </c>
      <c r="T127" s="10">
        <f>IF(A127="","",IF(AND(F127&lt;&gt;"",G127&lt;&gt;"",H127&lt;&gt;"",I127&lt;&gt;"",N127&lt;&gt;"",O127&lt;&gt;"",P127&lt;&gt;"",OR(I127="Tracked today",I127="Can be tracked now",AND(K127&lt;&gt;"",L127&lt;&gt;""))),"Ready","Not ready"))</f>
        <v/>
      </c>
      <c r="U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>
        <f>IF(A128="","",COUNTIF('2 Tables'!$E$5:$E$204,"*"&amp;A128&amp;"*"))</f>
        <v/>
      </c>
      <c r="R128" s="10">
        <f>IF(A128="","",COUNTIF('3 Fields'!$H$5:$H$204,A128))</f>
        <v/>
      </c>
      <c r="S128" s="10">
        <f>IF(A128="","",COUNTIF('4 Extractions'!$E$5:$E$204,A128))</f>
        <v/>
      </c>
      <c r="T128" s="10">
        <f>IF(A128="","",IF(AND(F128&lt;&gt;"",G128&lt;&gt;"",H128&lt;&gt;"",I128&lt;&gt;"",N128&lt;&gt;"",O128&lt;&gt;"",P128&lt;&gt;"",OR(I128="Tracked today",I128="Can be tracked now",AND(K128&lt;&gt;"",L128&lt;&gt;""))),"Ready","Not ready"))</f>
        <v/>
      </c>
      <c r="U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>
        <f>IF(A129="","",COUNTIF('2 Tables'!$E$5:$E$204,"*"&amp;A129&amp;"*"))</f>
        <v/>
      </c>
      <c r="R129" s="10">
        <f>IF(A129="","",COUNTIF('3 Fields'!$H$5:$H$204,A129))</f>
        <v/>
      </c>
      <c r="S129" s="10">
        <f>IF(A129="","",COUNTIF('4 Extractions'!$E$5:$E$204,A129))</f>
        <v/>
      </c>
      <c r="T129" s="10">
        <f>IF(A129="","",IF(AND(F129&lt;&gt;"",G129&lt;&gt;"",H129&lt;&gt;"",I129&lt;&gt;"",N129&lt;&gt;"",O129&lt;&gt;"",P129&lt;&gt;"",OR(I129="Tracked today",I129="Can be tracked now",AND(K129&lt;&gt;"",L129&lt;&gt;""))),"Ready","Not ready"))</f>
        <v/>
      </c>
      <c r="U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>
        <f>IF(A130="","",COUNTIF('2 Tables'!$E$5:$E$204,"*"&amp;A130&amp;"*"))</f>
        <v/>
      </c>
      <c r="R130" s="10">
        <f>IF(A130="","",COUNTIF('3 Fields'!$H$5:$H$204,A130))</f>
        <v/>
      </c>
      <c r="S130" s="10">
        <f>IF(A130="","",COUNTIF('4 Extractions'!$E$5:$E$204,A130))</f>
        <v/>
      </c>
      <c r="T130" s="10">
        <f>IF(A130="","",IF(AND(F130&lt;&gt;"",G130&lt;&gt;"",H130&lt;&gt;"",I130&lt;&gt;"",N130&lt;&gt;"",O130&lt;&gt;"",P130&lt;&gt;"",OR(I130="Tracked today",I130="Can be tracked now",AND(K130&lt;&gt;"",L130&lt;&gt;""))),"Ready","Not ready"))</f>
        <v/>
      </c>
      <c r="U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>
        <f>IF(A131="","",COUNTIF('2 Tables'!$E$5:$E$204,"*"&amp;A131&amp;"*"))</f>
        <v/>
      </c>
      <c r="R131" s="10">
        <f>IF(A131="","",COUNTIF('3 Fields'!$H$5:$H$204,A131))</f>
        <v/>
      </c>
      <c r="S131" s="10">
        <f>IF(A131="","",COUNTIF('4 Extractions'!$E$5:$E$204,A131))</f>
        <v/>
      </c>
      <c r="T131" s="10">
        <f>IF(A131="","",IF(AND(F131&lt;&gt;"",G131&lt;&gt;"",H131&lt;&gt;"",I131&lt;&gt;"",N131&lt;&gt;"",O131&lt;&gt;"",P131&lt;&gt;"",OR(I131="Tracked today",I131="Can be tracked now",AND(K131&lt;&gt;"",L131&lt;&gt;""))),"Ready","Not ready"))</f>
        <v/>
      </c>
      <c r="U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>
        <f>IF(A132="","",COUNTIF('2 Tables'!$E$5:$E$204,"*"&amp;A132&amp;"*"))</f>
        <v/>
      </c>
      <c r="R132" s="10">
        <f>IF(A132="","",COUNTIF('3 Fields'!$H$5:$H$204,A132))</f>
        <v/>
      </c>
      <c r="S132" s="10">
        <f>IF(A132="","",COUNTIF('4 Extractions'!$E$5:$E$204,A132))</f>
        <v/>
      </c>
      <c r="T132" s="10">
        <f>IF(A132="","",IF(AND(F132&lt;&gt;"",G132&lt;&gt;"",H132&lt;&gt;"",I132&lt;&gt;"",N132&lt;&gt;"",O132&lt;&gt;"",P132&lt;&gt;"",OR(I132="Tracked today",I132="Can be tracked now",AND(K132&lt;&gt;"",L132&lt;&gt;""))),"Ready","Not ready"))</f>
        <v/>
      </c>
      <c r="U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>
        <f>IF(A133="","",COUNTIF('2 Tables'!$E$5:$E$204,"*"&amp;A133&amp;"*"))</f>
        <v/>
      </c>
      <c r="R133" s="10">
        <f>IF(A133="","",COUNTIF('3 Fields'!$H$5:$H$204,A133))</f>
        <v/>
      </c>
      <c r="S133" s="10">
        <f>IF(A133="","",COUNTIF('4 Extractions'!$E$5:$E$204,A133))</f>
        <v/>
      </c>
      <c r="T133" s="10">
        <f>IF(A133="","",IF(AND(F133&lt;&gt;"",G133&lt;&gt;"",H133&lt;&gt;"",I133&lt;&gt;"",N133&lt;&gt;"",O133&lt;&gt;"",P133&lt;&gt;"",OR(I133="Tracked today",I133="Can be tracked now",AND(K133&lt;&gt;"",L133&lt;&gt;""))),"Ready","Not ready"))</f>
        <v/>
      </c>
      <c r="U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>
        <f>IF(A134="","",COUNTIF('2 Tables'!$E$5:$E$204,"*"&amp;A134&amp;"*"))</f>
        <v/>
      </c>
      <c r="R134" s="10">
        <f>IF(A134="","",COUNTIF('3 Fields'!$H$5:$H$204,A134))</f>
        <v/>
      </c>
      <c r="S134" s="10">
        <f>IF(A134="","",COUNTIF('4 Extractions'!$E$5:$E$204,A134))</f>
        <v/>
      </c>
      <c r="T134" s="10">
        <f>IF(A134="","",IF(AND(F134&lt;&gt;"",G134&lt;&gt;"",H134&lt;&gt;"",I134&lt;&gt;"",N134&lt;&gt;"",O134&lt;&gt;"",P134&lt;&gt;"",OR(I134="Tracked today",I134="Can be tracked now",AND(K134&lt;&gt;"",L134&lt;&gt;""))),"Ready","Not ready"))</f>
        <v/>
      </c>
      <c r="U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>
        <f>IF(A135="","",COUNTIF('2 Tables'!$E$5:$E$204,"*"&amp;A135&amp;"*"))</f>
        <v/>
      </c>
      <c r="R135" s="10">
        <f>IF(A135="","",COUNTIF('3 Fields'!$H$5:$H$204,A135))</f>
        <v/>
      </c>
      <c r="S135" s="10">
        <f>IF(A135="","",COUNTIF('4 Extractions'!$E$5:$E$204,A135))</f>
        <v/>
      </c>
      <c r="T135" s="10">
        <f>IF(A135="","",IF(AND(F135&lt;&gt;"",G135&lt;&gt;"",H135&lt;&gt;"",I135&lt;&gt;"",N135&lt;&gt;"",O135&lt;&gt;"",P135&lt;&gt;"",OR(I135="Tracked today",I135="Can be tracked now",AND(K135&lt;&gt;"",L135&lt;&gt;""))),"Ready","Not ready"))</f>
        <v/>
      </c>
      <c r="U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>
        <f>IF(A136="","",COUNTIF('2 Tables'!$E$5:$E$204,"*"&amp;A136&amp;"*"))</f>
        <v/>
      </c>
      <c r="R136" s="10">
        <f>IF(A136="","",COUNTIF('3 Fields'!$H$5:$H$204,A136))</f>
        <v/>
      </c>
      <c r="S136" s="10">
        <f>IF(A136="","",COUNTIF('4 Extractions'!$E$5:$E$204,A136))</f>
        <v/>
      </c>
      <c r="T136" s="10">
        <f>IF(A136="","",IF(AND(F136&lt;&gt;"",G136&lt;&gt;"",H136&lt;&gt;"",I136&lt;&gt;"",N136&lt;&gt;"",O136&lt;&gt;"",P136&lt;&gt;"",OR(I136="Tracked today",I136="Can be tracked now",AND(K136&lt;&gt;"",L136&lt;&gt;""))),"Ready","Not ready"))</f>
        <v/>
      </c>
      <c r="U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>
        <f>IF(A137="","",COUNTIF('2 Tables'!$E$5:$E$204,"*"&amp;A137&amp;"*"))</f>
        <v/>
      </c>
      <c r="R137" s="10">
        <f>IF(A137="","",COUNTIF('3 Fields'!$H$5:$H$204,A137))</f>
        <v/>
      </c>
      <c r="S137" s="10">
        <f>IF(A137="","",COUNTIF('4 Extractions'!$E$5:$E$204,A137))</f>
        <v/>
      </c>
      <c r="T137" s="10">
        <f>IF(A137="","",IF(AND(F137&lt;&gt;"",G137&lt;&gt;"",H137&lt;&gt;"",I137&lt;&gt;"",N137&lt;&gt;"",O137&lt;&gt;"",P137&lt;&gt;"",OR(I137="Tracked today",I137="Can be tracked now",AND(K137&lt;&gt;"",L137&lt;&gt;""))),"Ready","Not ready"))</f>
        <v/>
      </c>
      <c r="U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>
        <f>IF(A138="","",COUNTIF('2 Tables'!$E$5:$E$204,"*"&amp;A138&amp;"*"))</f>
        <v/>
      </c>
      <c r="R138" s="10">
        <f>IF(A138="","",COUNTIF('3 Fields'!$H$5:$H$204,A138))</f>
        <v/>
      </c>
      <c r="S138" s="10">
        <f>IF(A138="","",COUNTIF('4 Extractions'!$E$5:$E$204,A138))</f>
        <v/>
      </c>
      <c r="T138" s="10">
        <f>IF(A138="","",IF(AND(F138&lt;&gt;"",G138&lt;&gt;"",H138&lt;&gt;"",I138&lt;&gt;"",N138&lt;&gt;"",O138&lt;&gt;"",P138&lt;&gt;"",OR(I138="Tracked today",I138="Can be tracked now",AND(K138&lt;&gt;"",L138&lt;&gt;""))),"Ready","Not ready"))</f>
        <v/>
      </c>
      <c r="U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>
        <f>IF(A139="","",COUNTIF('2 Tables'!$E$5:$E$204,"*"&amp;A139&amp;"*"))</f>
        <v/>
      </c>
      <c r="R139" s="10">
        <f>IF(A139="","",COUNTIF('3 Fields'!$H$5:$H$204,A139))</f>
        <v/>
      </c>
      <c r="S139" s="10">
        <f>IF(A139="","",COUNTIF('4 Extractions'!$E$5:$E$204,A139))</f>
        <v/>
      </c>
      <c r="T139" s="10">
        <f>IF(A139="","",IF(AND(F139&lt;&gt;"",G139&lt;&gt;"",H139&lt;&gt;"",I139&lt;&gt;"",N139&lt;&gt;"",O139&lt;&gt;"",P139&lt;&gt;"",OR(I139="Tracked today",I139="Can be tracked now",AND(K139&lt;&gt;"",L139&lt;&gt;""))),"Ready","Not ready"))</f>
        <v/>
      </c>
      <c r="U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>
        <f>IF(A140="","",COUNTIF('2 Tables'!$E$5:$E$204,"*"&amp;A140&amp;"*"))</f>
        <v/>
      </c>
      <c r="R140" s="10">
        <f>IF(A140="","",COUNTIF('3 Fields'!$H$5:$H$204,A140))</f>
        <v/>
      </c>
      <c r="S140" s="10">
        <f>IF(A140="","",COUNTIF('4 Extractions'!$E$5:$E$204,A140))</f>
        <v/>
      </c>
      <c r="T140" s="10">
        <f>IF(A140="","",IF(AND(F140&lt;&gt;"",G140&lt;&gt;"",H140&lt;&gt;"",I140&lt;&gt;"",N140&lt;&gt;"",O140&lt;&gt;"",P140&lt;&gt;"",OR(I140="Tracked today",I140="Can be tracked now",AND(K140&lt;&gt;"",L140&lt;&gt;""))),"Ready","Not ready"))</f>
        <v/>
      </c>
      <c r="U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>
        <f>IF(A141="","",COUNTIF('2 Tables'!$E$5:$E$204,"*"&amp;A141&amp;"*"))</f>
        <v/>
      </c>
      <c r="R141" s="10">
        <f>IF(A141="","",COUNTIF('3 Fields'!$H$5:$H$204,A141))</f>
        <v/>
      </c>
      <c r="S141" s="10">
        <f>IF(A141="","",COUNTIF('4 Extractions'!$E$5:$E$204,A141))</f>
        <v/>
      </c>
      <c r="T141" s="10">
        <f>IF(A141="","",IF(AND(F141&lt;&gt;"",G141&lt;&gt;"",H141&lt;&gt;"",I141&lt;&gt;"",N141&lt;&gt;"",O141&lt;&gt;"",P141&lt;&gt;"",OR(I141="Tracked today",I141="Can be tracked now",AND(K141&lt;&gt;"",L141&lt;&gt;""))),"Ready","Not ready"))</f>
        <v/>
      </c>
      <c r="U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>
        <f>IF(A142="","",COUNTIF('2 Tables'!$E$5:$E$204,"*"&amp;A142&amp;"*"))</f>
        <v/>
      </c>
      <c r="R142" s="10">
        <f>IF(A142="","",COUNTIF('3 Fields'!$H$5:$H$204,A142))</f>
        <v/>
      </c>
      <c r="S142" s="10">
        <f>IF(A142="","",COUNTIF('4 Extractions'!$E$5:$E$204,A142))</f>
        <v/>
      </c>
      <c r="T142" s="10">
        <f>IF(A142="","",IF(AND(F142&lt;&gt;"",G142&lt;&gt;"",H142&lt;&gt;"",I142&lt;&gt;"",N142&lt;&gt;"",O142&lt;&gt;"",P142&lt;&gt;"",OR(I142="Tracked today",I142="Can be tracked now",AND(K142&lt;&gt;"",L142&lt;&gt;""))),"Ready","Not ready"))</f>
        <v/>
      </c>
      <c r="U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>
        <f>IF(A143="","",COUNTIF('2 Tables'!$E$5:$E$204,"*"&amp;A143&amp;"*"))</f>
        <v/>
      </c>
      <c r="R143" s="10">
        <f>IF(A143="","",COUNTIF('3 Fields'!$H$5:$H$204,A143))</f>
        <v/>
      </c>
      <c r="S143" s="10">
        <f>IF(A143="","",COUNTIF('4 Extractions'!$E$5:$E$204,A143))</f>
        <v/>
      </c>
      <c r="T143" s="10">
        <f>IF(A143="","",IF(AND(F143&lt;&gt;"",G143&lt;&gt;"",H143&lt;&gt;"",I143&lt;&gt;"",N143&lt;&gt;"",O143&lt;&gt;"",P143&lt;&gt;"",OR(I143="Tracked today",I143="Can be tracked now",AND(K143&lt;&gt;"",L143&lt;&gt;""))),"Ready","Not ready"))</f>
        <v/>
      </c>
      <c r="U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>
        <f>IF(A144="","",COUNTIF('2 Tables'!$E$5:$E$204,"*"&amp;A144&amp;"*"))</f>
        <v/>
      </c>
      <c r="R144" s="10">
        <f>IF(A144="","",COUNTIF('3 Fields'!$H$5:$H$204,A144))</f>
        <v/>
      </c>
      <c r="S144" s="10">
        <f>IF(A144="","",COUNTIF('4 Extractions'!$E$5:$E$204,A144))</f>
        <v/>
      </c>
      <c r="T144" s="10">
        <f>IF(A144="","",IF(AND(F144&lt;&gt;"",G144&lt;&gt;"",H144&lt;&gt;"",I144&lt;&gt;"",N144&lt;&gt;"",O144&lt;&gt;"",P144&lt;&gt;"",OR(I144="Tracked today",I144="Can be tracked now",AND(K144&lt;&gt;"",L144&lt;&gt;""))),"Ready","Not ready"))</f>
        <v/>
      </c>
      <c r="U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>
        <f>IF(A145="","",COUNTIF('2 Tables'!$E$5:$E$204,"*"&amp;A145&amp;"*"))</f>
        <v/>
      </c>
      <c r="R145" s="10">
        <f>IF(A145="","",COUNTIF('3 Fields'!$H$5:$H$204,A145))</f>
        <v/>
      </c>
      <c r="S145" s="10">
        <f>IF(A145="","",COUNTIF('4 Extractions'!$E$5:$E$204,A145))</f>
        <v/>
      </c>
      <c r="T145" s="10">
        <f>IF(A145="","",IF(AND(F145&lt;&gt;"",G145&lt;&gt;"",H145&lt;&gt;"",I145&lt;&gt;"",N145&lt;&gt;"",O145&lt;&gt;"",P145&lt;&gt;"",OR(I145="Tracked today",I145="Can be tracked now",AND(K145&lt;&gt;"",L145&lt;&gt;""))),"Ready","Not ready"))</f>
        <v/>
      </c>
      <c r="U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>
        <f>IF(A146="","",COUNTIF('2 Tables'!$E$5:$E$204,"*"&amp;A146&amp;"*"))</f>
        <v/>
      </c>
      <c r="R146" s="10">
        <f>IF(A146="","",COUNTIF('3 Fields'!$H$5:$H$204,A146))</f>
        <v/>
      </c>
      <c r="S146" s="10">
        <f>IF(A146="","",COUNTIF('4 Extractions'!$E$5:$E$204,A146))</f>
        <v/>
      </c>
      <c r="T146" s="10">
        <f>IF(A146="","",IF(AND(F146&lt;&gt;"",G146&lt;&gt;"",H146&lt;&gt;"",I146&lt;&gt;"",N146&lt;&gt;"",O146&lt;&gt;"",P146&lt;&gt;"",OR(I146="Tracked today",I146="Can be tracked now",AND(K146&lt;&gt;"",L146&lt;&gt;""))),"Ready","Not ready"))</f>
        <v/>
      </c>
      <c r="U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>
        <f>IF(A147="","",COUNTIF('2 Tables'!$E$5:$E$204,"*"&amp;A147&amp;"*"))</f>
        <v/>
      </c>
      <c r="R147" s="10">
        <f>IF(A147="","",COUNTIF('3 Fields'!$H$5:$H$204,A147))</f>
        <v/>
      </c>
      <c r="S147" s="10">
        <f>IF(A147="","",COUNTIF('4 Extractions'!$E$5:$E$204,A147))</f>
        <v/>
      </c>
      <c r="T147" s="10">
        <f>IF(A147="","",IF(AND(F147&lt;&gt;"",G147&lt;&gt;"",H147&lt;&gt;"",I147&lt;&gt;"",N147&lt;&gt;"",O147&lt;&gt;"",P147&lt;&gt;"",OR(I147="Tracked today",I147="Can be tracked now",AND(K147&lt;&gt;"",L147&lt;&gt;""))),"Ready","Not ready"))</f>
        <v/>
      </c>
      <c r="U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>
        <f>IF(A148="","",COUNTIF('2 Tables'!$E$5:$E$204,"*"&amp;A148&amp;"*"))</f>
        <v/>
      </c>
      <c r="R148" s="10">
        <f>IF(A148="","",COUNTIF('3 Fields'!$H$5:$H$204,A148))</f>
        <v/>
      </c>
      <c r="S148" s="10">
        <f>IF(A148="","",COUNTIF('4 Extractions'!$E$5:$E$204,A148))</f>
        <v/>
      </c>
      <c r="T148" s="10">
        <f>IF(A148="","",IF(AND(F148&lt;&gt;"",G148&lt;&gt;"",H148&lt;&gt;"",I148&lt;&gt;"",N148&lt;&gt;"",O148&lt;&gt;"",P148&lt;&gt;"",OR(I148="Tracked today",I148="Can be tracked now",AND(K148&lt;&gt;"",L148&lt;&gt;""))),"Ready","Not ready"))</f>
        <v/>
      </c>
      <c r="U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>
        <f>IF(A149="","",COUNTIF('2 Tables'!$E$5:$E$204,"*"&amp;A149&amp;"*"))</f>
        <v/>
      </c>
      <c r="R149" s="10">
        <f>IF(A149="","",COUNTIF('3 Fields'!$H$5:$H$204,A149))</f>
        <v/>
      </c>
      <c r="S149" s="10">
        <f>IF(A149="","",COUNTIF('4 Extractions'!$E$5:$E$204,A149))</f>
        <v/>
      </c>
      <c r="T149" s="10">
        <f>IF(A149="","",IF(AND(F149&lt;&gt;"",G149&lt;&gt;"",H149&lt;&gt;"",I149&lt;&gt;"",N149&lt;&gt;"",O149&lt;&gt;"",P149&lt;&gt;"",OR(I149="Tracked today",I149="Can be tracked now",AND(K149&lt;&gt;"",L149&lt;&gt;""))),"Ready","Not ready"))</f>
        <v/>
      </c>
      <c r="U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>
        <f>IF(A150="","",COUNTIF('2 Tables'!$E$5:$E$204,"*"&amp;A150&amp;"*"))</f>
        <v/>
      </c>
      <c r="R150" s="10">
        <f>IF(A150="","",COUNTIF('3 Fields'!$H$5:$H$204,A150))</f>
        <v/>
      </c>
      <c r="S150" s="10">
        <f>IF(A150="","",COUNTIF('4 Extractions'!$E$5:$E$204,A150))</f>
        <v/>
      </c>
      <c r="T150" s="10">
        <f>IF(A150="","",IF(AND(F150&lt;&gt;"",G150&lt;&gt;"",H150&lt;&gt;"",I150&lt;&gt;"",N150&lt;&gt;"",O150&lt;&gt;"",P150&lt;&gt;"",OR(I150="Tracked today",I150="Can be tracked now",AND(K150&lt;&gt;"",L150&lt;&gt;""))),"Ready","Not ready"))</f>
        <v/>
      </c>
      <c r="U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>
        <f>IF(A151="","",COUNTIF('2 Tables'!$E$5:$E$204,"*"&amp;A151&amp;"*"))</f>
        <v/>
      </c>
      <c r="R151" s="10">
        <f>IF(A151="","",COUNTIF('3 Fields'!$H$5:$H$204,A151))</f>
        <v/>
      </c>
      <c r="S151" s="10">
        <f>IF(A151="","",COUNTIF('4 Extractions'!$E$5:$E$204,A151))</f>
        <v/>
      </c>
      <c r="T151" s="10">
        <f>IF(A151="","",IF(AND(F151&lt;&gt;"",G151&lt;&gt;"",H151&lt;&gt;"",I151&lt;&gt;"",N151&lt;&gt;"",O151&lt;&gt;"",P151&lt;&gt;"",OR(I151="Tracked today",I151="Can be tracked now",AND(K151&lt;&gt;"",L151&lt;&gt;""))),"Ready","Not ready"))</f>
        <v/>
      </c>
      <c r="U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>
        <f>IF(A152="","",COUNTIF('2 Tables'!$E$5:$E$204,"*"&amp;A152&amp;"*"))</f>
        <v/>
      </c>
      <c r="R152" s="10">
        <f>IF(A152="","",COUNTIF('3 Fields'!$H$5:$H$204,A152))</f>
        <v/>
      </c>
      <c r="S152" s="10">
        <f>IF(A152="","",COUNTIF('4 Extractions'!$E$5:$E$204,A152))</f>
        <v/>
      </c>
      <c r="T152" s="10">
        <f>IF(A152="","",IF(AND(F152&lt;&gt;"",G152&lt;&gt;"",H152&lt;&gt;"",I152&lt;&gt;"",N152&lt;&gt;"",O152&lt;&gt;"",P152&lt;&gt;"",OR(I152="Tracked today",I152="Can be tracked now",AND(K152&lt;&gt;"",L152&lt;&gt;""))),"Ready","Not ready"))</f>
        <v/>
      </c>
      <c r="U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>
        <f>IF(A153="","",COUNTIF('2 Tables'!$E$5:$E$204,"*"&amp;A153&amp;"*"))</f>
        <v/>
      </c>
      <c r="R153" s="10">
        <f>IF(A153="","",COUNTIF('3 Fields'!$H$5:$H$204,A153))</f>
        <v/>
      </c>
      <c r="S153" s="10">
        <f>IF(A153="","",COUNTIF('4 Extractions'!$E$5:$E$204,A153))</f>
        <v/>
      </c>
      <c r="T153" s="10">
        <f>IF(A153="","",IF(AND(F153&lt;&gt;"",G153&lt;&gt;"",H153&lt;&gt;"",I153&lt;&gt;"",N153&lt;&gt;"",O153&lt;&gt;"",P153&lt;&gt;"",OR(I153="Tracked today",I153="Can be tracked now",AND(K153&lt;&gt;"",L153&lt;&gt;""))),"Ready","Not ready"))</f>
        <v/>
      </c>
      <c r="U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>
        <f>IF(A154="","",COUNTIF('2 Tables'!$E$5:$E$204,"*"&amp;A154&amp;"*"))</f>
        <v/>
      </c>
      <c r="R154" s="10">
        <f>IF(A154="","",COUNTIF('3 Fields'!$H$5:$H$204,A154))</f>
        <v/>
      </c>
      <c r="S154" s="10">
        <f>IF(A154="","",COUNTIF('4 Extractions'!$E$5:$E$204,A154))</f>
        <v/>
      </c>
      <c r="T154" s="10">
        <f>IF(A154="","",IF(AND(F154&lt;&gt;"",G154&lt;&gt;"",H154&lt;&gt;"",I154&lt;&gt;"",N154&lt;&gt;"",O154&lt;&gt;"",P154&lt;&gt;"",OR(I154="Tracked today",I154="Can be tracked now",AND(K154&lt;&gt;"",L154&lt;&gt;""))),"Ready","Not ready"))</f>
        <v/>
      </c>
      <c r="U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>
        <f>IF(A155="","",COUNTIF('2 Tables'!$E$5:$E$204,"*"&amp;A155&amp;"*"))</f>
        <v/>
      </c>
      <c r="R155" s="10">
        <f>IF(A155="","",COUNTIF('3 Fields'!$H$5:$H$204,A155))</f>
        <v/>
      </c>
      <c r="S155" s="10">
        <f>IF(A155="","",COUNTIF('4 Extractions'!$E$5:$E$204,A155))</f>
        <v/>
      </c>
      <c r="T155" s="10">
        <f>IF(A155="","",IF(AND(F155&lt;&gt;"",G155&lt;&gt;"",H155&lt;&gt;"",I155&lt;&gt;"",N155&lt;&gt;"",O155&lt;&gt;"",P155&lt;&gt;"",OR(I155="Tracked today",I155="Can be tracked now",AND(K155&lt;&gt;"",L155&lt;&gt;""))),"Ready","Not ready"))</f>
        <v/>
      </c>
      <c r="U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>
        <f>IF(A156="","",COUNTIF('2 Tables'!$E$5:$E$204,"*"&amp;A156&amp;"*"))</f>
        <v/>
      </c>
      <c r="R156" s="10">
        <f>IF(A156="","",COUNTIF('3 Fields'!$H$5:$H$204,A156))</f>
        <v/>
      </c>
      <c r="S156" s="10">
        <f>IF(A156="","",COUNTIF('4 Extractions'!$E$5:$E$204,A156))</f>
        <v/>
      </c>
      <c r="T156" s="10">
        <f>IF(A156="","",IF(AND(F156&lt;&gt;"",G156&lt;&gt;"",H156&lt;&gt;"",I156&lt;&gt;"",N156&lt;&gt;"",O156&lt;&gt;"",P156&lt;&gt;"",OR(I156="Tracked today",I156="Can be tracked now",AND(K156&lt;&gt;"",L156&lt;&gt;""))),"Ready","Not ready"))</f>
        <v/>
      </c>
      <c r="U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>
        <f>IF(A157="","",COUNTIF('2 Tables'!$E$5:$E$204,"*"&amp;A157&amp;"*"))</f>
        <v/>
      </c>
      <c r="R157" s="10">
        <f>IF(A157="","",COUNTIF('3 Fields'!$H$5:$H$204,A157))</f>
        <v/>
      </c>
      <c r="S157" s="10">
        <f>IF(A157="","",COUNTIF('4 Extractions'!$E$5:$E$204,A157))</f>
        <v/>
      </c>
      <c r="T157" s="10">
        <f>IF(A157="","",IF(AND(F157&lt;&gt;"",G157&lt;&gt;"",H157&lt;&gt;"",I157&lt;&gt;"",N157&lt;&gt;"",O157&lt;&gt;"",P157&lt;&gt;"",OR(I157="Tracked today",I157="Can be tracked now",AND(K157&lt;&gt;"",L157&lt;&gt;""))),"Ready","Not ready"))</f>
        <v/>
      </c>
      <c r="U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>
        <f>IF(A158="","",COUNTIF('2 Tables'!$E$5:$E$204,"*"&amp;A158&amp;"*"))</f>
        <v/>
      </c>
      <c r="R158" s="10">
        <f>IF(A158="","",COUNTIF('3 Fields'!$H$5:$H$204,A158))</f>
        <v/>
      </c>
      <c r="S158" s="10">
        <f>IF(A158="","",COUNTIF('4 Extractions'!$E$5:$E$204,A158))</f>
        <v/>
      </c>
      <c r="T158" s="10">
        <f>IF(A158="","",IF(AND(F158&lt;&gt;"",G158&lt;&gt;"",H158&lt;&gt;"",I158&lt;&gt;"",N158&lt;&gt;"",O158&lt;&gt;"",P158&lt;&gt;"",OR(I158="Tracked today",I158="Can be tracked now",AND(K158&lt;&gt;"",L158&lt;&gt;""))),"Ready","Not ready"))</f>
        <v/>
      </c>
      <c r="U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>
        <f>IF(A159="","",COUNTIF('2 Tables'!$E$5:$E$204,"*"&amp;A159&amp;"*"))</f>
        <v/>
      </c>
      <c r="R159" s="10">
        <f>IF(A159="","",COUNTIF('3 Fields'!$H$5:$H$204,A159))</f>
        <v/>
      </c>
      <c r="S159" s="10">
        <f>IF(A159="","",COUNTIF('4 Extractions'!$E$5:$E$204,A159))</f>
        <v/>
      </c>
      <c r="T159" s="10">
        <f>IF(A159="","",IF(AND(F159&lt;&gt;"",G159&lt;&gt;"",H159&lt;&gt;"",I159&lt;&gt;"",N159&lt;&gt;"",O159&lt;&gt;"",P159&lt;&gt;"",OR(I159="Tracked today",I159="Can be tracked now",AND(K159&lt;&gt;"",L159&lt;&gt;""))),"Ready","Not ready"))</f>
        <v/>
      </c>
      <c r="U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>
        <f>IF(A160="","",COUNTIF('2 Tables'!$E$5:$E$204,"*"&amp;A160&amp;"*"))</f>
        <v/>
      </c>
      <c r="R160" s="10">
        <f>IF(A160="","",COUNTIF('3 Fields'!$H$5:$H$204,A160))</f>
        <v/>
      </c>
      <c r="S160" s="10">
        <f>IF(A160="","",COUNTIF('4 Extractions'!$E$5:$E$204,A160))</f>
        <v/>
      </c>
      <c r="T160" s="10">
        <f>IF(A160="","",IF(AND(F160&lt;&gt;"",G160&lt;&gt;"",H160&lt;&gt;"",I160&lt;&gt;"",N160&lt;&gt;"",O160&lt;&gt;"",P160&lt;&gt;"",OR(I160="Tracked today",I160="Can be tracked now",AND(K160&lt;&gt;"",L160&lt;&gt;""))),"Ready","Not ready"))</f>
        <v/>
      </c>
      <c r="U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>
        <f>IF(A161="","",COUNTIF('2 Tables'!$E$5:$E$204,"*"&amp;A161&amp;"*"))</f>
        <v/>
      </c>
      <c r="R161" s="10">
        <f>IF(A161="","",COUNTIF('3 Fields'!$H$5:$H$204,A161))</f>
        <v/>
      </c>
      <c r="S161" s="10">
        <f>IF(A161="","",COUNTIF('4 Extractions'!$E$5:$E$204,A161))</f>
        <v/>
      </c>
      <c r="T161" s="10">
        <f>IF(A161="","",IF(AND(F161&lt;&gt;"",G161&lt;&gt;"",H161&lt;&gt;"",I161&lt;&gt;"",N161&lt;&gt;"",O161&lt;&gt;"",P161&lt;&gt;"",OR(I161="Tracked today",I161="Can be tracked now",AND(K161&lt;&gt;"",L161&lt;&gt;""))),"Ready","Not ready"))</f>
        <v/>
      </c>
      <c r="U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>
        <f>IF(A162="","",COUNTIF('2 Tables'!$E$5:$E$204,"*"&amp;A162&amp;"*"))</f>
        <v/>
      </c>
      <c r="R162" s="10">
        <f>IF(A162="","",COUNTIF('3 Fields'!$H$5:$H$204,A162))</f>
        <v/>
      </c>
      <c r="S162" s="10">
        <f>IF(A162="","",COUNTIF('4 Extractions'!$E$5:$E$204,A162))</f>
        <v/>
      </c>
      <c r="T162" s="10">
        <f>IF(A162="","",IF(AND(F162&lt;&gt;"",G162&lt;&gt;"",H162&lt;&gt;"",I162&lt;&gt;"",N162&lt;&gt;"",O162&lt;&gt;"",P162&lt;&gt;"",OR(I162="Tracked today",I162="Can be tracked now",AND(K162&lt;&gt;"",L162&lt;&gt;""))),"Ready","Not ready"))</f>
        <v/>
      </c>
      <c r="U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>
        <f>IF(A163="","",COUNTIF('2 Tables'!$E$5:$E$204,"*"&amp;A163&amp;"*"))</f>
        <v/>
      </c>
      <c r="R163" s="10">
        <f>IF(A163="","",COUNTIF('3 Fields'!$H$5:$H$204,A163))</f>
        <v/>
      </c>
      <c r="S163" s="10">
        <f>IF(A163="","",COUNTIF('4 Extractions'!$E$5:$E$204,A163))</f>
        <v/>
      </c>
      <c r="T163" s="10">
        <f>IF(A163="","",IF(AND(F163&lt;&gt;"",G163&lt;&gt;"",H163&lt;&gt;"",I163&lt;&gt;"",N163&lt;&gt;"",O163&lt;&gt;"",P163&lt;&gt;"",OR(I163="Tracked today",I163="Can be tracked now",AND(K163&lt;&gt;"",L163&lt;&gt;""))),"Ready","Not ready"))</f>
        <v/>
      </c>
      <c r="U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>
        <f>IF(A164="","",COUNTIF('2 Tables'!$E$5:$E$204,"*"&amp;A164&amp;"*"))</f>
        <v/>
      </c>
      <c r="R164" s="10">
        <f>IF(A164="","",COUNTIF('3 Fields'!$H$5:$H$204,A164))</f>
        <v/>
      </c>
      <c r="S164" s="10">
        <f>IF(A164="","",COUNTIF('4 Extractions'!$E$5:$E$204,A164))</f>
        <v/>
      </c>
      <c r="T164" s="10">
        <f>IF(A164="","",IF(AND(F164&lt;&gt;"",G164&lt;&gt;"",H164&lt;&gt;"",I164&lt;&gt;"",N164&lt;&gt;"",O164&lt;&gt;"",P164&lt;&gt;"",OR(I164="Tracked today",I164="Can be tracked now",AND(K164&lt;&gt;"",L164&lt;&gt;""))),"Ready","Not ready"))</f>
        <v/>
      </c>
      <c r="U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>
        <f>IF(A165="","",COUNTIF('2 Tables'!$E$5:$E$204,"*"&amp;A165&amp;"*"))</f>
        <v/>
      </c>
      <c r="R165" s="10">
        <f>IF(A165="","",COUNTIF('3 Fields'!$H$5:$H$204,A165))</f>
        <v/>
      </c>
      <c r="S165" s="10">
        <f>IF(A165="","",COUNTIF('4 Extractions'!$E$5:$E$204,A165))</f>
        <v/>
      </c>
      <c r="T165" s="10">
        <f>IF(A165="","",IF(AND(F165&lt;&gt;"",G165&lt;&gt;"",H165&lt;&gt;"",I165&lt;&gt;"",N165&lt;&gt;"",O165&lt;&gt;"",P165&lt;&gt;"",OR(I165="Tracked today",I165="Can be tracked now",AND(K165&lt;&gt;"",L165&lt;&gt;""))),"Ready","Not ready"))</f>
        <v/>
      </c>
      <c r="U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>
        <f>IF(A166="","",COUNTIF('2 Tables'!$E$5:$E$204,"*"&amp;A166&amp;"*"))</f>
        <v/>
      </c>
      <c r="R166" s="10">
        <f>IF(A166="","",COUNTIF('3 Fields'!$H$5:$H$204,A166))</f>
        <v/>
      </c>
      <c r="S166" s="10">
        <f>IF(A166="","",COUNTIF('4 Extractions'!$E$5:$E$204,A166))</f>
        <v/>
      </c>
      <c r="T166" s="10">
        <f>IF(A166="","",IF(AND(F166&lt;&gt;"",G166&lt;&gt;"",H166&lt;&gt;"",I166&lt;&gt;"",N166&lt;&gt;"",O166&lt;&gt;"",P166&lt;&gt;"",OR(I166="Tracked today",I166="Can be tracked now",AND(K166&lt;&gt;"",L166&lt;&gt;""))),"Ready","Not ready"))</f>
        <v/>
      </c>
      <c r="U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>
        <f>IF(A167="","",COUNTIF('2 Tables'!$E$5:$E$204,"*"&amp;A167&amp;"*"))</f>
        <v/>
      </c>
      <c r="R167" s="10">
        <f>IF(A167="","",COUNTIF('3 Fields'!$H$5:$H$204,A167))</f>
        <v/>
      </c>
      <c r="S167" s="10">
        <f>IF(A167="","",COUNTIF('4 Extractions'!$E$5:$E$204,A167))</f>
        <v/>
      </c>
      <c r="T167" s="10">
        <f>IF(A167="","",IF(AND(F167&lt;&gt;"",G167&lt;&gt;"",H167&lt;&gt;"",I167&lt;&gt;"",N167&lt;&gt;"",O167&lt;&gt;"",P167&lt;&gt;"",OR(I167="Tracked today",I167="Can be tracked now",AND(K167&lt;&gt;"",L167&lt;&gt;""))),"Ready","Not ready"))</f>
        <v/>
      </c>
      <c r="U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>
        <f>IF(A168="","",COUNTIF('2 Tables'!$E$5:$E$204,"*"&amp;A168&amp;"*"))</f>
        <v/>
      </c>
      <c r="R168" s="10">
        <f>IF(A168="","",COUNTIF('3 Fields'!$H$5:$H$204,A168))</f>
        <v/>
      </c>
      <c r="S168" s="10">
        <f>IF(A168="","",COUNTIF('4 Extractions'!$E$5:$E$204,A168))</f>
        <v/>
      </c>
      <c r="T168" s="10">
        <f>IF(A168="","",IF(AND(F168&lt;&gt;"",G168&lt;&gt;"",H168&lt;&gt;"",I168&lt;&gt;"",N168&lt;&gt;"",O168&lt;&gt;"",P168&lt;&gt;"",OR(I168="Tracked today",I168="Can be tracked now",AND(K168&lt;&gt;"",L168&lt;&gt;""))),"Ready","Not ready"))</f>
        <v/>
      </c>
      <c r="U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>
        <f>IF(A169="","",COUNTIF('2 Tables'!$E$5:$E$204,"*"&amp;A169&amp;"*"))</f>
        <v/>
      </c>
      <c r="R169" s="10">
        <f>IF(A169="","",COUNTIF('3 Fields'!$H$5:$H$204,A169))</f>
        <v/>
      </c>
      <c r="S169" s="10">
        <f>IF(A169="","",COUNTIF('4 Extractions'!$E$5:$E$204,A169))</f>
        <v/>
      </c>
      <c r="T169" s="10">
        <f>IF(A169="","",IF(AND(F169&lt;&gt;"",G169&lt;&gt;"",H169&lt;&gt;"",I169&lt;&gt;"",N169&lt;&gt;"",O169&lt;&gt;"",P169&lt;&gt;"",OR(I169="Tracked today",I169="Can be tracked now",AND(K169&lt;&gt;"",L169&lt;&gt;""))),"Ready","Not ready"))</f>
        <v/>
      </c>
      <c r="U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>
        <f>IF(A170="","",COUNTIF('2 Tables'!$E$5:$E$204,"*"&amp;A170&amp;"*"))</f>
        <v/>
      </c>
      <c r="R170" s="10">
        <f>IF(A170="","",COUNTIF('3 Fields'!$H$5:$H$204,A170))</f>
        <v/>
      </c>
      <c r="S170" s="10">
        <f>IF(A170="","",COUNTIF('4 Extractions'!$E$5:$E$204,A170))</f>
        <v/>
      </c>
      <c r="T170" s="10">
        <f>IF(A170="","",IF(AND(F170&lt;&gt;"",G170&lt;&gt;"",H170&lt;&gt;"",I170&lt;&gt;"",N170&lt;&gt;"",O170&lt;&gt;"",P170&lt;&gt;"",OR(I170="Tracked today",I170="Can be tracked now",AND(K170&lt;&gt;"",L170&lt;&gt;""))),"Ready","Not ready"))</f>
        <v/>
      </c>
      <c r="U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>
        <f>IF(A171="","",COUNTIF('2 Tables'!$E$5:$E$204,"*"&amp;A171&amp;"*"))</f>
        <v/>
      </c>
      <c r="R171" s="10">
        <f>IF(A171="","",COUNTIF('3 Fields'!$H$5:$H$204,A171))</f>
        <v/>
      </c>
      <c r="S171" s="10">
        <f>IF(A171="","",COUNTIF('4 Extractions'!$E$5:$E$204,A171))</f>
        <v/>
      </c>
      <c r="T171" s="10">
        <f>IF(A171="","",IF(AND(F171&lt;&gt;"",G171&lt;&gt;"",H171&lt;&gt;"",I171&lt;&gt;"",N171&lt;&gt;"",O171&lt;&gt;"",P171&lt;&gt;"",OR(I171="Tracked today",I171="Can be tracked now",AND(K171&lt;&gt;"",L171&lt;&gt;""))),"Ready","Not ready"))</f>
        <v/>
      </c>
      <c r="U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>
        <f>IF(A172="","",COUNTIF('2 Tables'!$E$5:$E$204,"*"&amp;A172&amp;"*"))</f>
        <v/>
      </c>
      <c r="R172" s="10">
        <f>IF(A172="","",COUNTIF('3 Fields'!$H$5:$H$204,A172))</f>
        <v/>
      </c>
      <c r="S172" s="10">
        <f>IF(A172="","",COUNTIF('4 Extractions'!$E$5:$E$204,A172))</f>
        <v/>
      </c>
      <c r="T172" s="10">
        <f>IF(A172="","",IF(AND(F172&lt;&gt;"",G172&lt;&gt;"",H172&lt;&gt;"",I172&lt;&gt;"",N172&lt;&gt;"",O172&lt;&gt;"",P172&lt;&gt;"",OR(I172="Tracked today",I172="Can be tracked now",AND(K172&lt;&gt;"",L172&lt;&gt;""))),"Ready","Not ready"))</f>
        <v/>
      </c>
      <c r="U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>
        <f>IF(A173="","",COUNTIF('2 Tables'!$E$5:$E$204,"*"&amp;A173&amp;"*"))</f>
        <v/>
      </c>
      <c r="R173" s="10">
        <f>IF(A173="","",COUNTIF('3 Fields'!$H$5:$H$204,A173))</f>
        <v/>
      </c>
      <c r="S173" s="10">
        <f>IF(A173="","",COUNTIF('4 Extractions'!$E$5:$E$204,A173))</f>
        <v/>
      </c>
      <c r="T173" s="10">
        <f>IF(A173="","",IF(AND(F173&lt;&gt;"",G173&lt;&gt;"",H173&lt;&gt;"",I173&lt;&gt;"",N173&lt;&gt;"",O173&lt;&gt;"",P173&lt;&gt;"",OR(I173="Tracked today",I173="Can be tracked now",AND(K173&lt;&gt;"",L173&lt;&gt;""))),"Ready","Not ready"))</f>
        <v/>
      </c>
      <c r="U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>
        <f>IF(A174="","",COUNTIF('2 Tables'!$E$5:$E$204,"*"&amp;A174&amp;"*"))</f>
        <v/>
      </c>
      <c r="R174" s="10">
        <f>IF(A174="","",COUNTIF('3 Fields'!$H$5:$H$204,A174))</f>
        <v/>
      </c>
      <c r="S174" s="10">
        <f>IF(A174="","",COUNTIF('4 Extractions'!$E$5:$E$204,A174))</f>
        <v/>
      </c>
      <c r="T174" s="10">
        <f>IF(A174="","",IF(AND(F174&lt;&gt;"",G174&lt;&gt;"",H174&lt;&gt;"",I174&lt;&gt;"",N174&lt;&gt;"",O174&lt;&gt;"",P174&lt;&gt;"",OR(I174="Tracked today",I174="Can be tracked now",AND(K174&lt;&gt;"",L174&lt;&gt;""))),"Ready","Not ready"))</f>
        <v/>
      </c>
      <c r="U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>
        <f>IF(A175="","",COUNTIF('2 Tables'!$E$5:$E$204,"*"&amp;A175&amp;"*"))</f>
        <v/>
      </c>
      <c r="R175" s="10">
        <f>IF(A175="","",COUNTIF('3 Fields'!$H$5:$H$204,A175))</f>
        <v/>
      </c>
      <c r="S175" s="10">
        <f>IF(A175="","",COUNTIF('4 Extractions'!$E$5:$E$204,A175))</f>
        <v/>
      </c>
      <c r="T175" s="10">
        <f>IF(A175="","",IF(AND(F175&lt;&gt;"",G175&lt;&gt;"",H175&lt;&gt;"",I175&lt;&gt;"",N175&lt;&gt;"",O175&lt;&gt;"",P175&lt;&gt;"",OR(I175="Tracked today",I175="Can be tracked now",AND(K175&lt;&gt;"",L175&lt;&gt;""))),"Ready","Not ready"))</f>
        <v/>
      </c>
      <c r="U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>
        <f>IF(A176="","",COUNTIF('2 Tables'!$E$5:$E$204,"*"&amp;A176&amp;"*"))</f>
        <v/>
      </c>
      <c r="R176" s="10">
        <f>IF(A176="","",COUNTIF('3 Fields'!$H$5:$H$204,A176))</f>
        <v/>
      </c>
      <c r="S176" s="10">
        <f>IF(A176="","",COUNTIF('4 Extractions'!$E$5:$E$204,A176))</f>
        <v/>
      </c>
      <c r="T176" s="10">
        <f>IF(A176="","",IF(AND(F176&lt;&gt;"",G176&lt;&gt;"",H176&lt;&gt;"",I176&lt;&gt;"",N176&lt;&gt;"",O176&lt;&gt;"",P176&lt;&gt;"",OR(I176="Tracked today",I176="Can be tracked now",AND(K176&lt;&gt;"",L176&lt;&gt;""))),"Ready","Not ready"))</f>
        <v/>
      </c>
      <c r="U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>
        <f>IF(A177="","",COUNTIF('2 Tables'!$E$5:$E$204,"*"&amp;A177&amp;"*"))</f>
        <v/>
      </c>
      <c r="R177" s="10">
        <f>IF(A177="","",COUNTIF('3 Fields'!$H$5:$H$204,A177))</f>
        <v/>
      </c>
      <c r="S177" s="10">
        <f>IF(A177="","",COUNTIF('4 Extractions'!$E$5:$E$204,A177))</f>
        <v/>
      </c>
      <c r="T177" s="10">
        <f>IF(A177="","",IF(AND(F177&lt;&gt;"",G177&lt;&gt;"",H177&lt;&gt;"",I177&lt;&gt;"",N177&lt;&gt;"",O177&lt;&gt;"",P177&lt;&gt;"",OR(I177="Tracked today",I177="Can be tracked now",AND(K177&lt;&gt;"",L177&lt;&gt;""))),"Ready","Not ready"))</f>
        <v/>
      </c>
      <c r="U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>
        <f>IF(A178="","",COUNTIF('2 Tables'!$E$5:$E$204,"*"&amp;A178&amp;"*"))</f>
        <v/>
      </c>
      <c r="R178" s="10">
        <f>IF(A178="","",COUNTIF('3 Fields'!$H$5:$H$204,A178))</f>
        <v/>
      </c>
      <c r="S178" s="10">
        <f>IF(A178="","",COUNTIF('4 Extractions'!$E$5:$E$204,A178))</f>
        <v/>
      </c>
      <c r="T178" s="10">
        <f>IF(A178="","",IF(AND(F178&lt;&gt;"",G178&lt;&gt;"",H178&lt;&gt;"",I178&lt;&gt;"",N178&lt;&gt;"",O178&lt;&gt;"",P178&lt;&gt;"",OR(I178="Tracked today",I178="Can be tracked now",AND(K178&lt;&gt;"",L178&lt;&gt;""))),"Ready","Not ready"))</f>
        <v/>
      </c>
      <c r="U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>
        <f>IF(A179="","",COUNTIF('2 Tables'!$E$5:$E$204,"*"&amp;A179&amp;"*"))</f>
        <v/>
      </c>
      <c r="R179" s="10">
        <f>IF(A179="","",COUNTIF('3 Fields'!$H$5:$H$204,A179))</f>
        <v/>
      </c>
      <c r="S179" s="10">
        <f>IF(A179="","",COUNTIF('4 Extractions'!$E$5:$E$204,A179))</f>
        <v/>
      </c>
      <c r="T179" s="10">
        <f>IF(A179="","",IF(AND(F179&lt;&gt;"",G179&lt;&gt;"",H179&lt;&gt;"",I179&lt;&gt;"",N179&lt;&gt;"",O179&lt;&gt;"",P179&lt;&gt;"",OR(I179="Tracked today",I179="Can be tracked now",AND(K179&lt;&gt;"",L179&lt;&gt;""))),"Ready","Not ready"))</f>
        <v/>
      </c>
      <c r="U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>
        <f>IF(A180="","",COUNTIF('2 Tables'!$E$5:$E$204,"*"&amp;A180&amp;"*"))</f>
        <v/>
      </c>
      <c r="R180" s="10">
        <f>IF(A180="","",COUNTIF('3 Fields'!$H$5:$H$204,A180))</f>
        <v/>
      </c>
      <c r="S180" s="10">
        <f>IF(A180="","",COUNTIF('4 Extractions'!$E$5:$E$204,A180))</f>
        <v/>
      </c>
      <c r="T180" s="10">
        <f>IF(A180="","",IF(AND(F180&lt;&gt;"",G180&lt;&gt;"",H180&lt;&gt;"",I180&lt;&gt;"",N180&lt;&gt;"",O180&lt;&gt;"",P180&lt;&gt;"",OR(I180="Tracked today",I180="Can be tracked now",AND(K180&lt;&gt;"",L180&lt;&gt;""))),"Ready","Not ready"))</f>
        <v/>
      </c>
      <c r="U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>
        <f>IF(A181="","",COUNTIF('2 Tables'!$E$5:$E$204,"*"&amp;A181&amp;"*"))</f>
        <v/>
      </c>
      <c r="R181" s="10">
        <f>IF(A181="","",COUNTIF('3 Fields'!$H$5:$H$204,A181))</f>
        <v/>
      </c>
      <c r="S181" s="10">
        <f>IF(A181="","",COUNTIF('4 Extractions'!$E$5:$E$204,A181))</f>
        <v/>
      </c>
      <c r="T181" s="10">
        <f>IF(A181="","",IF(AND(F181&lt;&gt;"",G181&lt;&gt;"",H181&lt;&gt;"",I181&lt;&gt;"",N181&lt;&gt;"",O181&lt;&gt;"",P181&lt;&gt;"",OR(I181="Tracked today",I181="Can be tracked now",AND(K181&lt;&gt;"",L181&lt;&gt;""))),"Ready","Not ready"))</f>
        <v/>
      </c>
      <c r="U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>
        <f>IF(A182="","",COUNTIF('2 Tables'!$E$5:$E$204,"*"&amp;A182&amp;"*"))</f>
        <v/>
      </c>
      <c r="R182" s="10">
        <f>IF(A182="","",COUNTIF('3 Fields'!$H$5:$H$204,A182))</f>
        <v/>
      </c>
      <c r="S182" s="10">
        <f>IF(A182="","",COUNTIF('4 Extractions'!$E$5:$E$204,A182))</f>
        <v/>
      </c>
      <c r="T182" s="10">
        <f>IF(A182="","",IF(AND(F182&lt;&gt;"",G182&lt;&gt;"",H182&lt;&gt;"",I182&lt;&gt;"",N182&lt;&gt;"",O182&lt;&gt;"",P182&lt;&gt;"",OR(I182="Tracked today",I182="Can be tracked now",AND(K182&lt;&gt;"",L182&lt;&gt;""))),"Ready","Not ready"))</f>
        <v/>
      </c>
      <c r="U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>
        <f>IF(A183="","",COUNTIF('2 Tables'!$E$5:$E$204,"*"&amp;A183&amp;"*"))</f>
        <v/>
      </c>
      <c r="R183" s="10">
        <f>IF(A183="","",COUNTIF('3 Fields'!$H$5:$H$204,A183))</f>
        <v/>
      </c>
      <c r="S183" s="10">
        <f>IF(A183="","",COUNTIF('4 Extractions'!$E$5:$E$204,A183))</f>
        <v/>
      </c>
      <c r="T183" s="10">
        <f>IF(A183="","",IF(AND(F183&lt;&gt;"",G183&lt;&gt;"",H183&lt;&gt;"",I183&lt;&gt;"",N183&lt;&gt;"",O183&lt;&gt;"",P183&lt;&gt;"",OR(I183="Tracked today",I183="Can be tracked now",AND(K183&lt;&gt;"",L183&lt;&gt;""))),"Ready","Not ready"))</f>
        <v/>
      </c>
      <c r="U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>
        <f>IF(A184="","",COUNTIF('2 Tables'!$E$5:$E$204,"*"&amp;A184&amp;"*"))</f>
        <v/>
      </c>
      <c r="R184" s="10">
        <f>IF(A184="","",COUNTIF('3 Fields'!$H$5:$H$204,A184))</f>
        <v/>
      </c>
      <c r="S184" s="10">
        <f>IF(A184="","",COUNTIF('4 Extractions'!$E$5:$E$204,A184))</f>
        <v/>
      </c>
      <c r="T184" s="10">
        <f>IF(A184="","",IF(AND(F184&lt;&gt;"",G184&lt;&gt;"",H184&lt;&gt;"",I184&lt;&gt;"",N184&lt;&gt;"",O184&lt;&gt;"",P184&lt;&gt;"",OR(I184="Tracked today",I184="Can be tracked now",AND(K184&lt;&gt;"",L184&lt;&gt;""))),"Ready","Not ready"))</f>
        <v/>
      </c>
      <c r="U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>
        <f>IF(A185="","",COUNTIF('2 Tables'!$E$5:$E$204,"*"&amp;A185&amp;"*"))</f>
        <v/>
      </c>
      <c r="R185" s="10">
        <f>IF(A185="","",COUNTIF('3 Fields'!$H$5:$H$204,A185))</f>
        <v/>
      </c>
      <c r="S185" s="10">
        <f>IF(A185="","",COUNTIF('4 Extractions'!$E$5:$E$204,A185))</f>
        <v/>
      </c>
      <c r="T185" s="10">
        <f>IF(A185="","",IF(AND(F185&lt;&gt;"",G185&lt;&gt;"",H185&lt;&gt;"",I185&lt;&gt;"",N185&lt;&gt;"",O185&lt;&gt;"",P185&lt;&gt;"",OR(I185="Tracked today",I185="Can be tracked now",AND(K185&lt;&gt;"",L185&lt;&gt;""))),"Ready","Not ready"))</f>
        <v/>
      </c>
      <c r="U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>
        <f>IF(A186="","",COUNTIF('2 Tables'!$E$5:$E$204,"*"&amp;A186&amp;"*"))</f>
        <v/>
      </c>
      <c r="R186" s="10">
        <f>IF(A186="","",COUNTIF('3 Fields'!$H$5:$H$204,A186))</f>
        <v/>
      </c>
      <c r="S186" s="10">
        <f>IF(A186="","",COUNTIF('4 Extractions'!$E$5:$E$204,A186))</f>
        <v/>
      </c>
      <c r="T186" s="10">
        <f>IF(A186="","",IF(AND(F186&lt;&gt;"",G186&lt;&gt;"",H186&lt;&gt;"",I186&lt;&gt;"",N186&lt;&gt;"",O186&lt;&gt;"",P186&lt;&gt;"",OR(I186="Tracked today",I186="Can be tracked now",AND(K186&lt;&gt;"",L186&lt;&gt;""))),"Ready","Not ready"))</f>
        <v/>
      </c>
      <c r="U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>
        <f>IF(A187="","",COUNTIF('2 Tables'!$E$5:$E$204,"*"&amp;A187&amp;"*"))</f>
        <v/>
      </c>
      <c r="R187" s="10">
        <f>IF(A187="","",COUNTIF('3 Fields'!$H$5:$H$204,A187))</f>
        <v/>
      </c>
      <c r="S187" s="10">
        <f>IF(A187="","",COUNTIF('4 Extractions'!$E$5:$E$204,A187))</f>
        <v/>
      </c>
      <c r="T187" s="10">
        <f>IF(A187="","",IF(AND(F187&lt;&gt;"",G187&lt;&gt;"",H187&lt;&gt;"",I187&lt;&gt;"",N187&lt;&gt;"",O187&lt;&gt;"",P187&lt;&gt;"",OR(I187="Tracked today",I187="Can be tracked now",AND(K187&lt;&gt;"",L187&lt;&gt;""))),"Ready","Not ready"))</f>
        <v/>
      </c>
      <c r="U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>
        <f>IF(A188="","",COUNTIF('2 Tables'!$E$5:$E$204,"*"&amp;A188&amp;"*"))</f>
        <v/>
      </c>
      <c r="R188" s="10">
        <f>IF(A188="","",COUNTIF('3 Fields'!$H$5:$H$204,A188))</f>
        <v/>
      </c>
      <c r="S188" s="10">
        <f>IF(A188="","",COUNTIF('4 Extractions'!$E$5:$E$204,A188))</f>
        <v/>
      </c>
      <c r="T188" s="10">
        <f>IF(A188="","",IF(AND(F188&lt;&gt;"",G188&lt;&gt;"",H188&lt;&gt;"",I188&lt;&gt;"",N188&lt;&gt;"",O188&lt;&gt;"",P188&lt;&gt;"",OR(I188="Tracked today",I188="Can be tracked now",AND(K188&lt;&gt;"",L188&lt;&gt;""))),"Ready","Not ready"))</f>
        <v/>
      </c>
      <c r="U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>
        <f>IF(A189="","",COUNTIF('2 Tables'!$E$5:$E$204,"*"&amp;A189&amp;"*"))</f>
        <v/>
      </c>
      <c r="R189" s="10">
        <f>IF(A189="","",COUNTIF('3 Fields'!$H$5:$H$204,A189))</f>
        <v/>
      </c>
      <c r="S189" s="10">
        <f>IF(A189="","",COUNTIF('4 Extractions'!$E$5:$E$204,A189))</f>
        <v/>
      </c>
      <c r="T189" s="10">
        <f>IF(A189="","",IF(AND(F189&lt;&gt;"",G189&lt;&gt;"",H189&lt;&gt;"",I189&lt;&gt;"",N189&lt;&gt;"",O189&lt;&gt;"",P189&lt;&gt;"",OR(I189="Tracked today",I189="Can be tracked now",AND(K189&lt;&gt;"",L189&lt;&gt;""))),"Ready","Not ready"))</f>
        <v/>
      </c>
      <c r="U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>
        <f>IF(A190="","",COUNTIF('2 Tables'!$E$5:$E$204,"*"&amp;A190&amp;"*"))</f>
        <v/>
      </c>
      <c r="R190" s="10">
        <f>IF(A190="","",COUNTIF('3 Fields'!$H$5:$H$204,A190))</f>
        <v/>
      </c>
      <c r="S190" s="10">
        <f>IF(A190="","",COUNTIF('4 Extractions'!$E$5:$E$204,A190))</f>
        <v/>
      </c>
      <c r="T190" s="10">
        <f>IF(A190="","",IF(AND(F190&lt;&gt;"",G190&lt;&gt;"",H190&lt;&gt;"",I190&lt;&gt;"",N190&lt;&gt;"",O190&lt;&gt;"",P190&lt;&gt;"",OR(I190="Tracked today",I190="Can be tracked now",AND(K190&lt;&gt;"",L190&lt;&gt;""))),"Ready","Not ready"))</f>
        <v/>
      </c>
      <c r="U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>
        <f>IF(A191="","",COUNTIF('2 Tables'!$E$5:$E$204,"*"&amp;A191&amp;"*"))</f>
        <v/>
      </c>
      <c r="R191" s="10">
        <f>IF(A191="","",COUNTIF('3 Fields'!$H$5:$H$204,A191))</f>
        <v/>
      </c>
      <c r="S191" s="10">
        <f>IF(A191="","",COUNTIF('4 Extractions'!$E$5:$E$204,A191))</f>
        <v/>
      </c>
      <c r="T191" s="10">
        <f>IF(A191="","",IF(AND(F191&lt;&gt;"",G191&lt;&gt;"",H191&lt;&gt;"",I191&lt;&gt;"",N191&lt;&gt;"",O191&lt;&gt;"",P191&lt;&gt;"",OR(I191="Tracked today",I191="Can be tracked now",AND(K191&lt;&gt;"",L191&lt;&gt;""))),"Ready","Not ready"))</f>
        <v/>
      </c>
      <c r="U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>
        <f>IF(A192="","",COUNTIF('2 Tables'!$E$5:$E$204,"*"&amp;A192&amp;"*"))</f>
        <v/>
      </c>
      <c r="R192" s="10">
        <f>IF(A192="","",COUNTIF('3 Fields'!$H$5:$H$204,A192))</f>
        <v/>
      </c>
      <c r="S192" s="10">
        <f>IF(A192="","",COUNTIF('4 Extractions'!$E$5:$E$204,A192))</f>
        <v/>
      </c>
      <c r="T192" s="10">
        <f>IF(A192="","",IF(AND(F192&lt;&gt;"",G192&lt;&gt;"",H192&lt;&gt;"",I192&lt;&gt;"",N192&lt;&gt;"",O192&lt;&gt;"",P192&lt;&gt;"",OR(I192="Tracked today",I192="Can be tracked now",AND(K192&lt;&gt;"",L192&lt;&gt;""))),"Ready","Not ready"))</f>
        <v/>
      </c>
      <c r="U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>
        <f>IF(A193="","",COUNTIF('2 Tables'!$E$5:$E$204,"*"&amp;A193&amp;"*"))</f>
        <v/>
      </c>
      <c r="R193" s="10">
        <f>IF(A193="","",COUNTIF('3 Fields'!$H$5:$H$204,A193))</f>
        <v/>
      </c>
      <c r="S193" s="10">
        <f>IF(A193="","",COUNTIF('4 Extractions'!$E$5:$E$204,A193))</f>
        <v/>
      </c>
      <c r="T193" s="10">
        <f>IF(A193="","",IF(AND(F193&lt;&gt;"",G193&lt;&gt;"",H193&lt;&gt;"",I193&lt;&gt;"",N193&lt;&gt;"",O193&lt;&gt;"",P193&lt;&gt;"",OR(I193="Tracked today",I193="Can be tracked now",AND(K193&lt;&gt;"",L193&lt;&gt;""))),"Ready","Not ready"))</f>
        <v/>
      </c>
      <c r="U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>
        <f>IF(A194="","",COUNTIF('2 Tables'!$E$5:$E$204,"*"&amp;A194&amp;"*"))</f>
        <v/>
      </c>
      <c r="R194" s="10">
        <f>IF(A194="","",COUNTIF('3 Fields'!$H$5:$H$204,A194))</f>
        <v/>
      </c>
      <c r="S194" s="10">
        <f>IF(A194="","",COUNTIF('4 Extractions'!$E$5:$E$204,A194))</f>
        <v/>
      </c>
      <c r="T194" s="10">
        <f>IF(A194="","",IF(AND(F194&lt;&gt;"",G194&lt;&gt;"",H194&lt;&gt;"",I194&lt;&gt;"",N194&lt;&gt;"",O194&lt;&gt;"",P194&lt;&gt;"",OR(I194="Tracked today",I194="Can be tracked now",AND(K194&lt;&gt;"",L194&lt;&gt;""))),"Ready","Not ready"))</f>
        <v/>
      </c>
      <c r="U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>
        <f>IF(A195="","",COUNTIF('2 Tables'!$E$5:$E$204,"*"&amp;A195&amp;"*"))</f>
        <v/>
      </c>
      <c r="R195" s="10">
        <f>IF(A195="","",COUNTIF('3 Fields'!$H$5:$H$204,A195))</f>
        <v/>
      </c>
      <c r="S195" s="10">
        <f>IF(A195="","",COUNTIF('4 Extractions'!$E$5:$E$204,A195))</f>
        <v/>
      </c>
      <c r="T195" s="10">
        <f>IF(A195="","",IF(AND(F195&lt;&gt;"",G195&lt;&gt;"",H195&lt;&gt;"",I195&lt;&gt;"",N195&lt;&gt;"",O195&lt;&gt;"",P195&lt;&gt;"",OR(I195="Tracked today",I195="Can be tracked now",AND(K195&lt;&gt;"",L195&lt;&gt;""))),"Ready","Not ready"))</f>
        <v/>
      </c>
      <c r="U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>
        <f>IF(A196="","",COUNTIF('2 Tables'!$E$5:$E$204,"*"&amp;A196&amp;"*"))</f>
        <v/>
      </c>
      <c r="R196" s="10">
        <f>IF(A196="","",COUNTIF('3 Fields'!$H$5:$H$204,A196))</f>
        <v/>
      </c>
      <c r="S196" s="10">
        <f>IF(A196="","",COUNTIF('4 Extractions'!$E$5:$E$204,A196))</f>
        <v/>
      </c>
      <c r="T196" s="10">
        <f>IF(A196="","",IF(AND(F196&lt;&gt;"",G196&lt;&gt;"",H196&lt;&gt;"",I196&lt;&gt;"",N196&lt;&gt;"",O196&lt;&gt;"",P196&lt;&gt;"",OR(I196="Tracked today",I196="Can be tracked now",AND(K196&lt;&gt;"",L196&lt;&gt;""))),"Ready","Not ready"))</f>
        <v/>
      </c>
      <c r="U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>
        <f>IF(A197="","",COUNTIF('2 Tables'!$E$5:$E$204,"*"&amp;A197&amp;"*"))</f>
        <v/>
      </c>
      <c r="R197" s="10">
        <f>IF(A197="","",COUNTIF('3 Fields'!$H$5:$H$204,A197))</f>
        <v/>
      </c>
      <c r="S197" s="10">
        <f>IF(A197="","",COUNTIF('4 Extractions'!$E$5:$E$204,A197))</f>
        <v/>
      </c>
      <c r="T197" s="10">
        <f>IF(A197="","",IF(AND(F197&lt;&gt;"",G197&lt;&gt;"",H197&lt;&gt;"",I197&lt;&gt;"",N197&lt;&gt;"",O197&lt;&gt;"",P197&lt;&gt;"",OR(I197="Tracked today",I197="Can be tracked now",AND(K197&lt;&gt;"",L197&lt;&gt;""))),"Ready","Not ready"))</f>
        <v/>
      </c>
      <c r="U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>
        <f>IF(A198="","",COUNTIF('2 Tables'!$E$5:$E$204,"*"&amp;A198&amp;"*"))</f>
        <v/>
      </c>
      <c r="R198" s="10">
        <f>IF(A198="","",COUNTIF('3 Fields'!$H$5:$H$204,A198))</f>
        <v/>
      </c>
      <c r="S198" s="10">
        <f>IF(A198="","",COUNTIF('4 Extractions'!$E$5:$E$204,A198))</f>
        <v/>
      </c>
      <c r="T198" s="10">
        <f>IF(A198="","",IF(AND(F198&lt;&gt;"",G198&lt;&gt;"",H198&lt;&gt;"",I198&lt;&gt;"",N198&lt;&gt;"",O198&lt;&gt;"",P198&lt;&gt;"",OR(I198="Tracked today",I198="Can be tracked now",AND(K198&lt;&gt;"",L198&lt;&gt;""))),"Ready","Not ready"))</f>
        <v/>
      </c>
      <c r="U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>
        <f>IF(A199="","",COUNTIF('2 Tables'!$E$5:$E$204,"*"&amp;A199&amp;"*"))</f>
        <v/>
      </c>
      <c r="R199" s="10">
        <f>IF(A199="","",COUNTIF('3 Fields'!$H$5:$H$204,A199))</f>
        <v/>
      </c>
      <c r="S199" s="10">
        <f>IF(A199="","",COUNTIF('4 Extractions'!$E$5:$E$204,A199))</f>
        <v/>
      </c>
      <c r="T199" s="10">
        <f>IF(A199="","",IF(AND(F199&lt;&gt;"",G199&lt;&gt;"",H199&lt;&gt;"",I199&lt;&gt;"",N199&lt;&gt;"",O199&lt;&gt;"",P199&lt;&gt;"",OR(I199="Tracked today",I199="Can be tracked now",AND(K199&lt;&gt;"",L199&lt;&gt;""))),"Ready","Not ready"))</f>
        <v/>
      </c>
      <c r="U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>
        <f>IF(A200="","",COUNTIF('2 Tables'!$E$5:$E$204,"*"&amp;A200&amp;"*"))</f>
        <v/>
      </c>
      <c r="R200" s="10">
        <f>IF(A200="","",COUNTIF('3 Fields'!$H$5:$H$204,A200))</f>
        <v/>
      </c>
      <c r="S200" s="10">
        <f>IF(A200="","",COUNTIF('4 Extractions'!$E$5:$E$204,A200))</f>
        <v/>
      </c>
      <c r="T200" s="10">
        <f>IF(A200="","",IF(AND(F200&lt;&gt;"",G200&lt;&gt;"",H200&lt;&gt;"",I200&lt;&gt;"",N200&lt;&gt;"",O200&lt;&gt;"",P200&lt;&gt;"",OR(I200="Tracked today",I200="Can be tracked now",AND(K200&lt;&gt;"",L200&lt;&gt;""))),"Ready","Not ready"))</f>
        <v/>
      </c>
      <c r="U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>
        <f>IF(A201="","",COUNTIF('2 Tables'!$E$5:$E$204,"*"&amp;A201&amp;"*"))</f>
        <v/>
      </c>
      <c r="R201" s="10">
        <f>IF(A201="","",COUNTIF('3 Fields'!$H$5:$H$204,A201))</f>
        <v/>
      </c>
      <c r="S201" s="10">
        <f>IF(A201="","",COUNTIF('4 Extractions'!$E$5:$E$204,A201))</f>
        <v/>
      </c>
      <c r="T201" s="10">
        <f>IF(A201="","",IF(AND(F201&lt;&gt;"",G201&lt;&gt;"",H201&lt;&gt;"",I201&lt;&gt;"",N201&lt;&gt;"",O201&lt;&gt;"",P201&lt;&gt;"",OR(I201="Tracked today",I201="Can be tracked now",AND(K201&lt;&gt;"",L201&lt;&gt;""))),"Ready","Not ready"))</f>
        <v/>
      </c>
      <c r="U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>
        <f>IF(A202="","",COUNTIF('2 Tables'!$E$5:$E$204,"*"&amp;A202&amp;"*"))</f>
        <v/>
      </c>
      <c r="R202" s="10">
        <f>IF(A202="","",COUNTIF('3 Fields'!$H$5:$H$204,A202))</f>
        <v/>
      </c>
      <c r="S202" s="10">
        <f>IF(A202="","",COUNTIF('4 Extractions'!$E$5:$E$204,A202))</f>
        <v/>
      </c>
      <c r="T202" s="10">
        <f>IF(A202="","",IF(AND(F202&lt;&gt;"",G202&lt;&gt;"",H202&lt;&gt;"",I202&lt;&gt;"",N202&lt;&gt;"",O202&lt;&gt;"",P202&lt;&gt;"",OR(I202="Tracked today",I202="Can be tracked now",AND(K202&lt;&gt;"",L202&lt;&gt;""))),"Ready","Not ready"))</f>
        <v/>
      </c>
      <c r="U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>
        <f>IF(A203="","",COUNTIF('2 Tables'!$E$5:$E$204,"*"&amp;A203&amp;"*"))</f>
        <v/>
      </c>
      <c r="R203" s="10">
        <f>IF(A203="","",COUNTIF('3 Fields'!$H$5:$H$204,A203))</f>
        <v/>
      </c>
      <c r="S203" s="10">
        <f>IF(A203="","",COUNTIF('4 Extractions'!$E$5:$E$204,A203))</f>
        <v/>
      </c>
      <c r="T203" s="10">
        <f>IF(A203="","",IF(AND(F203&lt;&gt;"",G203&lt;&gt;"",H203&lt;&gt;"",I203&lt;&gt;"",N203&lt;&gt;"",O203&lt;&gt;"",P203&lt;&gt;"",OR(I203="Tracked today",I203="Can be tracked now",AND(K203&lt;&gt;"",L203&lt;&gt;""))),"Ready","Not ready"))</f>
        <v/>
      </c>
      <c r="U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>
        <f>IF(A204="","",COUNTIF('2 Tables'!$E$5:$E$204,"*"&amp;A204&amp;"*"))</f>
        <v/>
      </c>
      <c r="R204" s="10">
        <f>IF(A204="","",COUNTIF('3 Fields'!$H$5:$H$204,A204))</f>
        <v/>
      </c>
      <c r="S204" s="10">
        <f>IF(A204="","",COUNTIF('4 Extractions'!$E$5:$E$204,A204))</f>
        <v/>
      </c>
      <c r="T204" s="10">
        <f>IF(A204="","",IF(AND(F204&lt;&gt;"",G204&lt;&gt;"",H204&lt;&gt;"",I204&lt;&gt;"",N204&lt;&gt;"",O204&lt;&gt;"",P204&lt;&gt;"",OR(I204="Tracked today",I204="Can be tracked now",AND(K204&lt;&gt;"",L204&lt;&gt;""))),"Ready","Not ready"))</f>
        <v/>
      </c>
      <c r="U204" s="10" t="n"/>
    </row>
  </sheetData>
  <conditionalFormatting sqref="T5:T204">
    <cfRule type="expression" priority="1" dxfId="0">
      <formula>T5="Ready"</formula>
    </cfRule>
    <cfRule type="expression" priority="2" dxfId="1">
      <formula>T5="Not ready"</formula>
    </cfRule>
  </conditionalFormatting>
  <dataValidations count="2">
    <dataValidation sqref="D5:D204" showDropDown="0" showInputMessage="0" showErrorMessage="0" allowBlank="1" errorTitle="Not in the list" error="That value is not in the list. Keep it only if you need it." type="list" errorStyle="warning">
      <formula1>=Lists!$N$2:$N$5</formula1>
    </dataValidation>
    <dataValidation sqref="I5:I204" showDropDown="0" showInputMessage="0" showErrorMessage="0" allowBlank="1" errorTitle="Not in the list" error="That value is not in the list. Keep it only if you need it." type="list" errorStyle="warning">
      <formula1>=Lists!$O$2:$O$5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A7179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</cols>
  <sheetData>
    <row r="1">
      <c r="A1" s="11" t="inlineStr">
        <is>
          <t>SourceType</t>
        </is>
      </c>
      <c r="B1" s="11" t="inlineStr">
        <is>
          <t>Structure</t>
        </is>
      </c>
      <c r="C1" s="11" t="inlineStr">
        <is>
          <t>ConnectionMethod</t>
        </is>
      </c>
      <c r="D1" s="11" t="inlineStr">
        <is>
          <t>YesNoNotSure</t>
        </is>
      </c>
      <c r="E1" s="11" t="inlineStr">
        <is>
          <t>Frequency</t>
        </is>
      </c>
      <c r="F1" s="11" t="inlineStr">
        <is>
          <t>Availability</t>
        </is>
      </c>
      <c r="G1" s="11" t="inlineStr">
        <is>
          <t>Provenance</t>
        </is>
      </c>
      <c r="H1" s="11" t="inlineStr">
        <is>
          <t>Kind</t>
        </is>
      </c>
      <c r="I1" s="11" t="inlineStr">
        <is>
          <t>UpdatePattern</t>
        </is>
      </c>
      <c r="J1" s="11" t="inlineStr">
        <is>
          <t>DataType</t>
        </is>
      </c>
      <c r="K1" s="11" t="inlineStr">
        <is>
          <t>FieldRole</t>
        </is>
      </c>
      <c r="L1" s="11" t="inlineStr">
        <is>
          <t>PersonalClass</t>
        </is>
      </c>
      <c r="M1" s="11" t="inlineStr">
        <is>
          <t>Required</t>
        </is>
      </c>
      <c r="N1" s="11" t="inlineStr">
        <is>
          <t>Priority</t>
        </is>
      </c>
      <c r="O1" s="11" t="inlineStr">
        <is>
          <t>TrackingStatus</t>
        </is>
      </c>
    </row>
    <row r="2">
      <c r="A2" t="inlineStr">
        <is>
          <t>Database: Postgres</t>
        </is>
      </c>
      <c r="B2" t="inlineStr">
        <is>
          <t>Structured</t>
        </is>
      </c>
      <c r="C2" t="inlineStr">
        <is>
          <t>Direct database connection</t>
        </is>
      </c>
      <c r="D2" t="inlineStr">
        <is>
          <t>Yes</t>
        </is>
      </c>
      <c r="E2" t="inlineStr">
        <is>
          <t>Real time</t>
        </is>
      </c>
      <c r="F2" t="inlineStr">
        <is>
          <t>Available now</t>
        </is>
      </c>
      <c r="G2" t="inlineStr">
        <is>
          <t>Stated by a named person</t>
        </is>
      </c>
      <c r="H2" t="inlineStr">
        <is>
          <t>Table</t>
        </is>
      </c>
      <c r="I2" t="inlineStr">
        <is>
          <t>Full replace</t>
        </is>
      </c>
      <c r="J2" t="inlineStr">
        <is>
          <t>Text</t>
        </is>
      </c>
      <c r="K2" t="inlineStr">
        <is>
          <t>Measure</t>
        </is>
      </c>
      <c r="L2" t="inlineStr">
        <is>
          <t>Personal data</t>
        </is>
      </c>
      <c r="M2" t="inlineStr">
        <is>
          <t>Yes</t>
        </is>
      </c>
      <c r="N2" t="inlineStr">
        <is>
          <t>Must</t>
        </is>
      </c>
      <c r="O2" t="inlineStr">
        <is>
          <t>Tracked today</t>
        </is>
      </c>
    </row>
    <row r="3">
      <c r="A3" t="inlineStr">
        <is>
          <t>Database: other</t>
        </is>
      </c>
      <c r="B3" t="inlineStr">
        <is>
          <t>Unstructured</t>
        </is>
      </c>
      <c r="C3" t="inlineStr">
        <is>
          <t>Scheduled file drop</t>
        </is>
      </c>
      <c r="D3" t="inlineStr">
        <is>
          <t>No</t>
        </is>
      </c>
      <c r="E3" t="inlineStr">
        <is>
          <t>Daily</t>
        </is>
      </c>
      <c r="F3" t="inlineStr">
        <is>
          <t>Can be made available</t>
        </is>
      </c>
      <c r="G3" t="inlineStr">
        <is>
          <t>Guessed</t>
        </is>
      </c>
      <c r="H3" t="inlineStr">
        <is>
          <t>File</t>
        </is>
      </c>
      <c r="I3" t="inlineStr">
        <is>
          <t>Append only</t>
        </is>
      </c>
      <c r="J3" t="inlineStr">
        <is>
          <t>Number</t>
        </is>
      </c>
      <c r="K3" t="inlineStr">
        <is>
          <t>Dimension</t>
        </is>
      </c>
      <c r="L3" t="inlineStr">
        <is>
          <t>Sensitive to the business</t>
        </is>
      </c>
      <c r="M3" t="inlineStr">
        <is>
          <t>No</t>
        </is>
      </c>
      <c r="N3" t="inlineStr">
        <is>
          <t>Should</t>
        </is>
      </c>
      <c r="O3" t="inlineStr">
        <is>
          <t>Can be tracked now</t>
        </is>
      </c>
    </row>
    <row r="4">
      <c r="A4" t="inlineStr">
        <is>
          <t>Data warehouse</t>
        </is>
      </c>
      <c r="B4" t="inlineStr">
        <is>
          <t>Both</t>
        </is>
      </c>
      <c r="C4" t="inlineStr">
        <is>
          <t>File uploaded by the owner</t>
        </is>
      </c>
      <c r="D4" t="inlineStr">
        <is>
          <t>Not sure</t>
        </is>
      </c>
      <c r="E4" t="inlineStr">
        <is>
          <t>Weekly</t>
        </is>
      </c>
      <c r="F4" t="inlineStr">
        <is>
          <t>Planned</t>
        </is>
      </c>
      <c r="G4" t="inlineStr">
        <is>
          <t>Unknown</t>
        </is>
      </c>
      <c r="H4" t="inlineStr">
        <is>
          <t>Document type</t>
        </is>
      </c>
      <c r="I4" t="inlineStr">
        <is>
          <t>Changes only</t>
        </is>
      </c>
      <c r="J4" t="inlineStr">
        <is>
          <t>Date</t>
        </is>
      </c>
      <c r="K4" t="inlineStr">
        <is>
          <t>Date</t>
        </is>
      </c>
      <c r="L4" t="inlineStr">
        <is>
          <t>Neither</t>
        </is>
      </c>
      <c r="N4" t="inlineStr">
        <is>
          <t>Could</t>
        </is>
      </c>
      <c r="O4" t="inlineStr">
        <is>
          <t>Will be tracked in future</t>
        </is>
      </c>
    </row>
    <row r="5">
      <c r="A5" t="inlineStr">
        <is>
          <t>File drop: CSV or Excel</t>
        </is>
      </c>
      <c r="C5" t="inlineStr">
        <is>
          <t>Email forwarded to us</t>
        </is>
      </c>
      <c r="E5" t="inlineStr">
        <is>
          <t>Monthly</t>
        </is>
      </c>
      <c r="F5" t="inlineStr">
        <is>
          <t>Not available</t>
        </is>
      </c>
      <c r="H5" t="inlineStr">
        <is>
          <t>Email type</t>
        </is>
      </c>
      <c r="I5" t="inlineStr">
        <is>
          <t>Not sure</t>
        </is>
      </c>
      <c r="J5" t="inlineStr">
        <is>
          <t>Date and time</t>
        </is>
      </c>
      <c r="K5" t="inlineStr">
        <is>
          <t>Key</t>
        </is>
      </c>
      <c r="L5" t="inlineStr">
        <is>
          <t>Not sure</t>
        </is>
      </c>
      <c r="N5" t="inlineStr">
        <is>
          <t>Not this time</t>
        </is>
      </c>
      <c r="O5" t="inlineStr">
        <is>
          <t>Cannot be tracked</t>
        </is>
      </c>
    </row>
    <row r="6">
      <c r="A6" t="inlineStr">
        <is>
          <t>Email with attachment</t>
        </is>
      </c>
      <c r="C6" t="inlineStr">
        <is>
          <t>API</t>
        </is>
      </c>
      <c r="E6" t="inlineStr">
        <is>
          <t>Quarterly</t>
        </is>
      </c>
      <c r="J6" t="inlineStr">
        <is>
          <t>Yes or No</t>
        </is>
      </c>
      <c r="K6" t="inlineStr">
        <is>
          <t>Filter</t>
        </is>
      </c>
    </row>
    <row r="7">
      <c r="A7" t="inlineStr">
        <is>
          <t>Document store: unstructured</t>
        </is>
      </c>
      <c r="C7" t="inlineStr">
        <is>
          <t>Manual, not yet decided</t>
        </is>
      </c>
      <c r="E7" t="inlineStr">
        <is>
          <t>Ad hoc</t>
        </is>
      </c>
      <c r="J7" t="inlineStr">
        <is>
          <t>Other</t>
        </is>
      </c>
      <c r="K7" t="inlineStr">
        <is>
          <t>Other</t>
        </is>
      </c>
    </row>
    <row r="8">
      <c r="A8" t="inlineStr">
        <is>
          <t>Third-party portal or API</t>
        </is>
      </c>
    </row>
    <row r="9">
      <c r="A9" t="inlineStr">
        <is>
          <t>Manual workbook (Excel)</t>
        </is>
      </c>
    </row>
    <row r="10">
      <c r="A10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2026-10-02T23:54:44Z</dcterms:created>
  <dcterms:modified xmlns:dcterms="http://purl.org/dc/terms/" xmlns:xsi="http://www.w3.org/2001/XMLSchema-instance" xsi:type="dcterms:W3CDTF">2026-10-02T23:54:44Z</dcterms:modified>
</cp:coreProperties>
</file>